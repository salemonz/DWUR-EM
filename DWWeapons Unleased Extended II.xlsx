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ames\Steam\steamapps\common\Distant Worlds Universe\Customization\Unleashed Extended II\"/>
    </mc:Choice>
  </mc:AlternateContent>
  <bookViews>
    <workbookView xWindow="0" yWindow="0" windowWidth="18585" windowHeight="10800" tabRatio="709" activeTab="1"/>
  </bookViews>
  <sheets>
    <sheet name="Primary Weapons" sheetId="1" r:id="rId1"/>
    <sheet name="Research Costs" sheetId="14" r:id="rId2"/>
    <sheet name="Bombardment" sheetId="11" r:id="rId3"/>
    <sheet name="Special" sheetId="2" r:id="rId4"/>
    <sheet name="Sheet1" sheetId="4" r:id="rId5"/>
    <sheet name="Hyperdrives" sheetId="5" r:id="rId6"/>
    <sheet name="Fuel Cells" sheetId="6" r:id="rId7"/>
    <sheet name="Drive Thrusters" sheetId="7" r:id="rId8"/>
    <sheet name="Maneuvering Thrusters" sheetId="10" r:id="rId9"/>
    <sheet name="Reactors" sheetId="8" r:id="rId10"/>
    <sheet name="Shields" sheetId="9" r:id="rId11"/>
    <sheet name="Targeting and Countermeasures" sheetId="12" r:id="rId12"/>
    <sheet name="Jump Disruption" sheetId="13" r:id="rId13"/>
  </sheets>
  <definedNames>
    <definedName name="basis">'Research Costs'!$A$9</definedName>
  </definedNames>
  <calcPr calcId="152511"/>
</workbook>
</file>

<file path=xl/calcChain.xml><?xml version="1.0" encoding="utf-8"?>
<calcChain xmlns="http://schemas.openxmlformats.org/spreadsheetml/2006/main">
  <c r="C10" i="14" l="1"/>
  <c r="D10" i="14"/>
  <c r="E10" i="14"/>
  <c r="B10" i="14"/>
  <c r="H10" i="14" s="1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G10" i="14" l="1"/>
  <c r="I10" i="14"/>
  <c r="B30" i="14"/>
  <c r="E30" i="14"/>
  <c r="F30" i="14"/>
  <c r="G30" i="14"/>
  <c r="H30" i="14"/>
  <c r="I30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10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11" i="14"/>
  <c r="I25" i="14"/>
  <c r="B25" i="14"/>
  <c r="I26" i="14"/>
  <c r="B26" i="14"/>
  <c r="I27" i="14"/>
  <c r="B27" i="14"/>
  <c r="I28" i="14"/>
  <c r="B28" i="14"/>
  <c r="I29" i="14"/>
  <c r="B29" i="14"/>
  <c r="B11" i="14"/>
  <c r="B12" i="14"/>
  <c r="H12" i="14" s="1"/>
  <c r="B13" i="14"/>
  <c r="B14" i="14"/>
  <c r="B15" i="14"/>
  <c r="B16" i="14"/>
  <c r="B17" i="14"/>
  <c r="B18" i="14"/>
  <c r="B19" i="14"/>
  <c r="B20" i="14"/>
  <c r="B21" i="14"/>
  <c r="B22" i="14"/>
  <c r="B23" i="14"/>
  <c r="B24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G11" i="14" l="1"/>
  <c r="H11" i="14"/>
  <c r="D101" i="1"/>
  <c r="D102" i="1"/>
  <c r="D103" i="1"/>
  <c r="D104" i="1"/>
  <c r="D105" i="1"/>
  <c r="D100" i="1"/>
  <c r="N105" i="1"/>
  <c r="N104" i="1"/>
  <c r="AI104" i="1" s="1"/>
  <c r="N103" i="1"/>
  <c r="N102" i="1"/>
  <c r="N101" i="1"/>
  <c r="N100" i="1"/>
  <c r="AI100" i="1" s="1"/>
  <c r="D107" i="1"/>
  <c r="D108" i="1"/>
  <c r="D109" i="1"/>
  <c r="D110" i="1"/>
  <c r="D111" i="1"/>
  <c r="D106" i="1"/>
  <c r="D113" i="1"/>
  <c r="D114" i="1"/>
  <c r="D115" i="1"/>
  <c r="D116" i="1"/>
  <c r="D117" i="1"/>
  <c r="D118" i="1"/>
  <c r="D119" i="1"/>
  <c r="D120" i="1"/>
  <c r="D121" i="1"/>
  <c r="D122" i="1"/>
  <c r="D123" i="1"/>
  <c r="D112" i="1"/>
  <c r="N113" i="1"/>
  <c r="AI113" i="1" s="1"/>
  <c r="AI105" i="1" l="1"/>
  <c r="AI101" i="1"/>
  <c r="AI103" i="1"/>
  <c r="AI102" i="1"/>
  <c r="N115" i="1"/>
  <c r="AI115" i="1" s="1"/>
  <c r="N121" i="1"/>
  <c r="AI121" i="1" s="1"/>
  <c r="N106" i="1"/>
  <c r="AI106" i="1" s="1"/>
  <c r="N118" i="1"/>
  <c r="AI118" i="1" s="1"/>
  <c r="N122" i="1"/>
  <c r="AI122" i="1" s="1"/>
  <c r="N119" i="1"/>
  <c r="AI119" i="1" s="1"/>
  <c r="N123" i="1"/>
  <c r="AI123" i="1" s="1"/>
  <c r="N120" i="1"/>
  <c r="AI120" i="1" s="1"/>
  <c r="N112" i="1"/>
  <c r="AI112" i="1" s="1"/>
  <c r="N116" i="1"/>
  <c r="AI116" i="1" s="1"/>
  <c r="N117" i="1"/>
  <c r="AI117" i="1" s="1"/>
  <c r="N114" i="1"/>
  <c r="AI114" i="1" s="1"/>
  <c r="N111" i="1"/>
  <c r="AI111" i="1" s="1"/>
  <c r="N110" i="1"/>
  <c r="AI110" i="1" s="1"/>
  <c r="N109" i="1"/>
  <c r="AI109" i="1" s="1"/>
  <c r="N108" i="1"/>
  <c r="AI108" i="1" s="1"/>
  <c r="N107" i="1"/>
  <c r="AI107" i="1" s="1"/>
  <c r="N91" i="1"/>
  <c r="AI91" i="1" s="1"/>
  <c r="L91" i="1"/>
  <c r="M91" i="1" s="1"/>
  <c r="N86" i="1"/>
  <c r="AI86" i="1" s="1"/>
  <c r="L86" i="1"/>
  <c r="M86" i="1" s="1"/>
  <c r="N81" i="1"/>
  <c r="AI81" i="1" s="1"/>
  <c r="L81" i="1"/>
  <c r="M81" i="1" s="1"/>
  <c r="BD41" i="1"/>
  <c r="BP41" i="1" s="1"/>
  <c r="N41" i="1"/>
  <c r="AI41" i="1" s="1"/>
  <c r="L41" i="1"/>
  <c r="M41" i="1" s="1"/>
  <c r="N96" i="1" l="1"/>
  <c r="AI96" i="1" s="1"/>
  <c r="L96" i="1"/>
  <c r="M96" i="1" s="1"/>
  <c r="BD36" i="1"/>
  <c r="BP36" i="1" s="1"/>
  <c r="N36" i="1"/>
  <c r="AI36" i="1" s="1"/>
  <c r="L36" i="1"/>
  <c r="M36" i="1" s="1"/>
  <c r="N23" i="1"/>
  <c r="AI23" i="1" s="1"/>
  <c r="L23" i="1"/>
  <c r="M23" i="1" s="1"/>
  <c r="N10" i="1"/>
  <c r="AI10" i="1" s="1"/>
  <c r="L10" i="1"/>
  <c r="M10" i="1" s="1"/>
  <c r="BD22" i="1"/>
  <c r="BP22" i="1" s="1"/>
  <c r="N22" i="1"/>
  <c r="AI22" i="1" s="1"/>
  <c r="L22" i="1"/>
  <c r="M22" i="1" s="1"/>
  <c r="BD10" i="1"/>
  <c r="BP10" i="1" s="1"/>
  <c r="BD24" i="1"/>
  <c r="BP24" i="1" s="1"/>
  <c r="N24" i="1"/>
  <c r="AI24" i="1" s="1"/>
  <c r="L24" i="1"/>
  <c r="M24" i="1" s="1"/>
  <c r="BD23" i="1"/>
  <c r="BP23" i="1" s="1"/>
  <c r="BD21" i="1"/>
  <c r="BP21" i="1" s="1"/>
  <c r="N21" i="1"/>
  <c r="AI21" i="1" s="1"/>
  <c r="L21" i="1"/>
  <c r="M21" i="1" s="1"/>
  <c r="N99" i="1"/>
  <c r="AI99" i="1" s="1"/>
  <c r="L99" i="1"/>
  <c r="M99" i="1" s="1"/>
  <c r="N98" i="1"/>
  <c r="AI98" i="1" s="1"/>
  <c r="L98" i="1"/>
  <c r="M98" i="1" s="1"/>
  <c r="L97" i="1"/>
  <c r="M97" i="1" s="1"/>
  <c r="N97" i="1"/>
  <c r="AI97" i="1" s="1"/>
  <c r="N62" i="1"/>
  <c r="AI62" i="1" s="1"/>
  <c r="L62" i="1"/>
  <c r="M62" i="1" s="1"/>
  <c r="N61" i="1"/>
  <c r="AI61" i="1" s="1"/>
  <c r="L61" i="1"/>
  <c r="M61" i="1" s="1"/>
  <c r="N60" i="1"/>
  <c r="AI60" i="1" s="1"/>
  <c r="L60" i="1"/>
  <c r="M60" i="1" s="1"/>
  <c r="N34" i="1"/>
  <c r="AI34" i="1" s="1"/>
  <c r="L34" i="1"/>
  <c r="M34" i="1" s="1"/>
  <c r="BD15" i="1"/>
  <c r="BD4" i="1"/>
  <c r="BP4" i="1" s="1"/>
  <c r="N4" i="1"/>
  <c r="AI4" i="1" s="1"/>
  <c r="L4" i="1"/>
  <c r="M4" i="1" s="1"/>
  <c r="N90" i="1"/>
  <c r="AI90" i="1" s="1"/>
  <c r="L90" i="1"/>
  <c r="M90" i="1" s="1"/>
  <c r="N87" i="1"/>
  <c r="AI87" i="1" s="1"/>
  <c r="L87" i="1"/>
  <c r="M87" i="1" s="1"/>
  <c r="N82" i="1"/>
  <c r="AI82" i="1" s="1"/>
  <c r="L82" i="1"/>
  <c r="M82" i="1" s="1"/>
  <c r="N68" i="1"/>
  <c r="AI68" i="1" s="1"/>
  <c r="L68" i="1"/>
  <c r="M68" i="1" s="1"/>
  <c r="N67" i="1"/>
  <c r="AI67" i="1" s="1"/>
  <c r="L67" i="1"/>
  <c r="M67" i="1" s="1"/>
  <c r="N66" i="1"/>
  <c r="AI66" i="1" s="1"/>
  <c r="L66" i="1"/>
  <c r="M66" i="1" s="1"/>
  <c r="N65" i="1"/>
  <c r="AI65" i="1" s="1"/>
  <c r="L65" i="1"/>
  <c r="M65" i="1" s="1"/>
  <c r="N64" i="1"/>
  <c r="AI64" i="1" s="1"/>
  <c r="L64" i="1"/>
  <c r="M64" i="1" s="1"/>
  <c r="N63" i="1"/>
  <c r="AI63" i="1" s="1"/>
  <c r="L63" i="1"/>
  <c r="M63" i="1" s="1"/>
  <c r="G57" i="1"/>
  <c r="L57" i="1" s="1"/>
  <c r="M57" i="1" s="1"/>
  <c r="N58" i="1"/>
  <c r="AI58" i="1" s="1"/>
  <c r="L58" i="1"/>
  <c r="M58" i="1" s="1"/>
  <c r="N59" i="1"/>
  <c r="AI59" i="1" s="1"/>
  <c r="N70" i="1"/>
  <c r="AI70" i="1" s="1"/>
  <c r="N71" i="1"/>
  <c r="AI71" i="1" s="1"/>
  <c r="N72" i="1"/>
  <c r="AI72" i="1" s="1"/>
  <c r="N73" i="1"/>
  <c r="AI73" i="1" s="1"/>
  <c r="N69" i="1"/>
  <c r="AI69" i="1" s="1"/>
  <c r="N74" i="1"/>
  <c r="AI74" i="1" s="1"/>
  <c r="N75" i="1"/>
  <c r="AI75" i="1" s="1"/>
  <c r="N76" i="1"/>
  <c r="AI76" i="1" s="1"/>
  <c r="N77" i="1"/>
  <c r="AI77" i="1" s="1"/>
  <c r="N78" i="1"/>
  <c r="AI78" i="1" s="1"/>
  <c r="N79" i="1"/>
  <c r="AI79" i="1" s="1"/>
  <c r="N80" i="1"/>
  <c r="AI80" i="1" s="1"/>
  <c r="N88" i="1"/>
  <c r="AI88" i="1" s="1"/>
  <c r="N89" i="1"/>
  <c r="AI89" i="1" s="1"/>
  <c r="N92" i="1"/>
  <c r="AI92" i="1" s="1"/>
  <c r="N83" i="1"/>
  <c r="AI83" i="1" s="1"/>
  <c r="N84" i="1"/>
  <c r="AI84" i="1" s="1"/>
  <c r="N85" i="1"/>
  <c r="AI85" i="1" s="1"/>
  <c r="N93" i="1"/>
  <c r="AI93" i="1" s="1"/>
  <c r="N94" i="1"/>
  <c r="AI94" i="1" s="1"/>
  <c r="N95" i="1"/>
  <c r="AI95" i="1" s="1"/>
  <c r="L95" i="1"/>
  <c r="M95" i="1" s="1"/>
  <c r="L94" i="1"/>
  <c r="M94" i="1" s="1"/>
  <c r="L93" i="1"/>
  <c r="M93" i="1" s="1"/>
  <c r="L85" i="1"/>
  <c r="M85" i="1" s="1"/>
  <c r="L84" i="1"/>
  <c r="M84" i="1" s="1"/>
  <c r="L83" i="1"/>
  <c r="M83" i="1" s="1"/>
  <c r="L92" i="1"/>
  <c r="M92" i="1" s="1"/>
  <c r="L89" i="1"/>
  <c r="M89" i="1" s="1"/>
  <c r="L88" i="1"/>
  <c r="M88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L69" i="1"/>
  <c r="M69" i="1" s="1"/>
  <c r="L73" i="1"/>
  <c r="M73" i="1" s="1"/>
  <c r="L72" i="1"/>
  <c r="M72" i="1" s="1"/>
  <c r="L71" i="1"/>
  <c r="M71" i="1" s="1"/>
  <c r="L70" i="1"/>
  <c r="M70" i="1" s="1"/>
  <c r="L59" i="1"/>
  <c r="M59" i="1" s="1"/>
  <c r="N5" i="1"/>
  <c r="AI5" i="1" s="1"/>
  <c r="N6" i="1"/>
  <c r="AI6" i="1" s="1"/>
  <c r="N7" i="1"/>
  <c r="AI7" i="1" s="1"/>
  <c r="N8" i="1"/>
  <c r="AI8" i="1" s="1"/>
  <c r="N9" i="1"/>
  <c r="AI9" i="1" s="1"/>
  <c r="N11" i="1"/>
  <c r="AI11" i="1" s="1"/>
  <c r="N12" i="1"/>
  <c r="AI12" i="1" s="1"/>
  <c r="N13" i="1"/>
  <c r="AI13" i="1" s="1"/>
  <c r="N14" i="1"/>
  <c r="AI14" i="1" s="1"/>
  <c r="N15" i="1"/>
  <c r="AI15" i="1" s="1"/>
  <c r="N16" i="1"/>
  <c r="AI16" i="1" s="1"/>
  <c r="N17" i="1"/>
  <c r="AI17" i="1" s="1"/>
  <c r="N18" i="1"/>
  <c r="AI18" i="1" s="1"/>
  <c r="N19" i="1"/>
  <c r="AI19" i="1" s="1"/>
  <c r="N20" i="1"/>
  <c r="AI20" i="1" s="1"/>
  <c r="N31" i="1"/>
  <c r="AI31" i="1" s="1"/>
  <c r="N32" i="1"/>
  <c r="AI32" i="1" s="1"/>
  <c r="N33" i="1"/>
  <c r="AI33" i="1" s="1"/>
  <c r="N25" i="1"/>
  <c r="AI25" i="1" s="1"/>
  <c r="N26" i="1"/>
  <c r="AI26" i="1" s="1"/>
  <c r="N27" i="1"/>
  <c r="AI27" i="1" s="1"/>
  <c r="N28" i="1"/>
  <c r="AI28" i="1" s="1"/>
  <c r="N29" i="1"/>
  <c r="AI29" i="1" s="1"/>
  <c r="N30" i="1"/>
  <c r="AI30" i="1" s="1"/>
  <c r="N43" i="1"/>
  <c r="AI43" i="1" s="1"/>
  <c r="N44" i="1"/>
  <c r="AI44" i="1" s="1"/>
  <c r="N45" i="1"/>
  <c r="AI45" i="1" s="1"/>
  <c r="N46" i="1"/>
  <c r="AI46" i="1" s="1"/>
  <c r="N47" i="1"/>
  <c r="AI47" i="1" s="1"/>
  <c r="N48" i="1"/>
  <c r="AI48" i="1" s="1"/>
  <c r="N49" i="1"/>
  <c r="AI49" i="1" s="1"/>
  <c r="N50" i="1"/>
  <c r="AI50" i="1" s="1"/>
  <c r="N51" i="1"/>
  <c r="AI51" i="1" s="1"/>
  <c r="N52" i="1"/>
  <c r="AI52" i="1" s="1"/>
  <c r="N53" i="1"/>
  <c r="AI53" i="1" s="1"/>
  <c r="N54" i="1"/>
  <c r="AI54" i="1" s="1"/>
  <c r="N55" i="1"/>
  <c r="AI55" i="1" s="1"/>
  <c r="N56" i="1"/>
  <c r="AI56" i="1" s="1"/>
  <c r="N57" i="1"/>
  <c r="AI57" i="1" s="1"/>
  <c r="N35" i="1"/>
  <c r="AI35" i="1" s="1"/>
  <c r="N37" i="1"/>
  <c r="AI37" i="1" s="1"/>
  <c r="N38" i="1"/>
  <c r="AI38" i="1" s="1"/>
  <c r="N39" i="1"/>
  <c r="AI39" i="1" s="1"/>
  <c r="N40" i="1"/>
  <c r="AI40" i="1" s="1"/>
  <c r="N42" i="1"/>
  <c r="AI42" i="1" s="1"/>
  <c r="N3" i="1"/>
  <c r="AI3" i="1" s="1"/>
  <c r="BD55" i="1"/>
  <c r="BP55" i="1" s="1"/>
  <c r="G55" i="1"/>
  <c r="L55" i="1" s="1"/>
  <c r="M55" i="1" s="1"/>
  <c r="G51" i="1"/>
  <c r="G54" i="1"/>
  <c r="G56" i="1"/>
  <c r="G53" i="1"/>
  <c r="G52" i="1"/>
  <c r="L44" i="1"/>
  <c r="M44" i="1" s="1"/>
  <c r="L48" i="1"/>
  <c r="M48" i="1" s="1"/>
  <c r="L49" i="1"/>
  <c r="L50" i="1"/>
  <c r="M50" i="1" s="1"/>
  <c r="BD50" i="1"/>
  <c r="BP50" i="1" s="1"/>
  <c r="BD49" i="1"/>
  <c r="BP49" i="1" s="1"/>
  <c r="BD48" i="1"/>
  <c r="BP48" i="1" s="1"/>
  <c r="J4" i="9" l="1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3" i="9"/>
  <c r="D30" i="5"/>
  <c r="D27" i="5"/>
  <c r="D31" i="5"/>
  <c r="D28" i="5"/>
  <c r="L4" i="7"/>
  <c r="M4" i="7"/>
  <c r="L5" i="7"/>
  <c r="M5" i="7"/>
  <c r="L6" i="7"/>
  <c r="M6" i="7"/>
  <c r="L7" i="7"/>
  <c r="M7" i="7"/>
  <c r="L8" i="7"/>
  <c r="M8" i="7"/>
  <c r="L9" i="7"/>
  <c r="M9" i="7"/>
  <c r="L10" i="7"/>
  <c r="M10" i="7"/>
  <c r="L11" i="7"/>
  <c r="M11" i="7"/>
  <c r="L12" i="7"/>
  <c r="M12" i="7"/>
  <c r="L13" i="7"/>
  <c r="M13" i="7"/>
  <c r="L14" i="7"/>
  <c r="M14" i="7"/>
  <c r="L15" i="7"/>
  <c r="M15" i="7"/>
  <c r="L16" i="7"/>
  <c r="M16" i="7"/>
  <c r="L17" i="7"/>
  <c r="M17" i="7"/>
  <c r="L18" i="7"/>
  <c r="M18" i="7"/>
  <c r="L19" i="7"/>
  <c r="M19" i="7"/>
  <c r="L20" i="7"/>
  <c r="M20" i="7"/>
  <c r="L21" i="7"/>
  <c r="M21" i="7"/>
  <c r="M3" i="7"/>
  <c r="L3" i="7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3" i="11"/>
  <c r="J4" i="11"/>
  <c r="K4" i="11" s="1"/>
  <c r="J5" i="11"/>
  <c r="K5" i="11" s="1"/>
  <c r="J6" i="11"/>
  <c r="K6" i="11"/>
  <c r="J7" i="11"/>
  <c r="K7" i="11" s="1"/>
  <c r="J8" i="11"/>
  <c r="K8" i="11" s="1"/>
  <c r="J9" i="11"/>
  <c r="K9" i="11" s="1"/>
  <c r="J10" i="11"/>
  <c r="K10" i="11" s="1"/>
  <c r="J11" i="11"/>
  <c r="K11" i="11" s="1"/>
  <c r="J12" i="11"/>
  <c r="K12" i="11"/>
  <c r="J13" i="11"/>
  <c r="K13" i="11" s="1"/>
  <c r="J14" i="11"/>
  <c r="K14" i="11" s="1"/>
  <c r="J15" i="11"/>
  <c r="K15" i="11" s="1"/>
  <c r="J16" i="11"/>
  <c r="K16" i="11"/>
  <c r="J3" i="11"/>
  <c r="K3" i="11" s="1"/>
  <c r="O5" i="2"/>
  <c r="O9" i="2"/>
  <c r="O13" i="2"/>
  <c r="O4" i="2"/>
  <c r="Q6" i="2"/>
  <c r="Q10" i="2"/>
  <c r="Q14" i="2"/>
  <c r="P5" i="2"/>
  <c r="Q5" i="2" s="1"/>
  <c r="P6" i="2"/>
  <c r="P7" i="2"/>
  <c r="Q7" i="2" s="1"/>
  <c r="P8" i="2"/>
  <c r="Q8" i="2" s="1"/>
  <c r="P9" i="2"/>
  <c r="Q9" i="2" s="1"/>
  <c r="P10" i="2"/>
  <c r="P11" i="2"/>
  <c r="Q11" i="2" s="1"/>
  <c r="P12" i="2"/>
  <c r="Q12" i="2" s="1"/>
  <c r="P13" i="2"/>
  <c r="Q13" i="2" s="1"/>
  <c r="P14" i="2"/>
  <c r="P15" i="2"/>
  <c r="Q15" i="2" s="1"/>
  <c r="P16" i="2"/>
  <c r="Q16" i="2" s="1"/>
  <c r="P4" i="2"/>
  <c r="Q4" i="2" s="1"/>
  <c r="N5" i="2"/>
  <c r="N6" i="2"/>
  <c r="O6" i="2" s="1"/>
  <c r="N7" i="2"/>
  <c r="O7" i="2" s="1"/>
  <c r="N8" i="2"/>
  <c r="O8" i="2" s="1"/>
  <c r="N9" i="2"/>
  <c r="N10" i="2"/>
  <c r="O10" i="2" s="1"/>
  <c r="N11" i="2"/>
  <c r="O11" i="2" s="1"/>
  <c r="N12" i="2"/>
  <c r="O12" i="2" s="1"/>
  <c r="N13" i="2"/>
  <c r="N14" i="2"/>
  <c r="O14" i="2" s="1"/>
  <c r="N15" i="2"/>
  <c r="O15" i="2" s="1"/>
  <c r="N16" i="2"/>
  <c r="O16" i="2" s="1"/>
  <c r="N4" i="2"/>
  <c r="O27" i="4"/>
  <c r="N27" i="4"/>
  <c r="M27" i="4"/>
  <c r="O26" i="4"/>
  <c r="N26" i="4"/>
  <c r="M26" i="4"/>
  <c r="O25" i="4"/>
  <c r="N25" i="4"/>
  <c r="M25" i="4"/>
  <c r="O24" i="4"/>
  <c r="N24" i="4"/>
  <c r="M24" i="4"/>
  <c r="L27" i="4"/>
  <c r="K27" i="4"/>
  <c r="J27" i="4"/>
  <c r="L26" i="4"/>
  <c r="K26" i="4"/>
  <c r="J26" i="4"/>
  <c r="L25" i="4"/>
  <c r="K25" i="4"/>
  <c r="J25" i="4"/>
  <c r="L24" i="4"/>
  <c r="K24" i="4"/>
  <c r="J24" i="4"/>
  <c r="E24" i="4"/>
  <c r="F24" i="4"/>
  <c r="G24" i="4"/>
  <c r="H24" i="4"/>
  <c r="I24" i="4"/>
  <c r="E25" i="4"/>
  <c r="F25" i="4"/>
  <c r="G25" i="4"/>
  <c r="H25" i="4"/>
  <c r="I25" i="4"/>
  <c r="E26" i="4"/>
  <c r="F26" i="4"/>
  <c r="G26" i="4"/>
  <c r="H26" i="4"/>
  <c r="I26" i="4"/>
  <c r="E27" i="4"/>
  <c r="F27" i="4"/>
  <c r="G27" i="4"/>
  <c r="H27" i="4"/>
  <c r="I27" i="4"/>
  <c r="D25" i="4"/>
  <c r="D26" i="4"/>
  <c r="D27" i="4"/>
  <c r="D24" i="4"/>
  <c r="E15" i="4"/>
  <c r="F15" i="4"/>
  <c r="G15" i="4"/>
  <c r="H15" i="4"/>
  <c r="I15" i="4"/>
  <c r="E16" i="4"/>
  <c r="F16" i="4"/>
  <c r="G16" i="4"/>
  <c r="H16" i="4"/>
  <c r="I16" i="4"/>
  <c r="E17" i="4"/>
  <c r="F17" i="4"/>
  <c r="G17" i="4"/>
  <c r="H17" i="4"/>
  <c r="I17" i="4"/>
  <c r="E18" i="4"/>
  <c r="F18" i="4"/>
  <c r="G18" i="4"/>
  <c r="H18" i="4"/>
  <c r="I18" i="4"/>
  <c r="D16" i="4"/>
  <c r="D17" i="4"/>
  <c r="D18" i="4"/>
  <c r="D15" i="4"/>
  <c r="J4" i="8"/>
  <c r="K4" i="8"/>
  <c r="J5" i="8"/>
  <c r="K5" i="8"/>
  <c r="J6" i="8"/>
  <c r="K6" i="8"/>
  <c r="J7" i="8"/>
  <c r="K7" i="8"/>
  <c r="J8" i="8"/>
  <c r="K8" i="8"/>
  <c r="J9" i="8"/>
  <c r="K9" i="8"/>
  <c r="J10" i="8"/>
  <c r="K10" i="8"/>
  <c r="J11" i="8"/>
  <c r="K11" i="8"/>
  <c r="J12" i="8"/>
  <c r="K12" i="8"/>
  <c r="J13" i="8"/>
  <c r="K13" i="8"/>
  <c r="J14" i="8"/>
  <c r="K14" i="8"/>
  <c r="J15" i="8"/>
  <c r="K15" i="8"/>
  <c r="J16" i="8"/>
  <c r="K16" i="8"/>
  <c r="J17" i="8"/>
  <c r="K17" i="8"/>
  <c r="J18" i="8"/>
  <c r="K18" i="8"/>
  <c r="K3" i="8"/>
  <c r="J3" i="8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3" i="5"/>
  <c r="J4" i="7"/>
  <c r="K4" i="7"/>
  <c r="J5" i="7"/>
  <c r="K5" i="7"/>
  <c r="J6" i="7"/>
  <c r="K6" i="7"/>
  <c r="J7" i="7"/>
  <c r="K7" i="7"/>
  <c r="J8" i="7"/>
  <c r="K8" i="7"/>
  <c r="J9" i="7"/>
  <c r="K9" i="7"/>
  <c r="J10" i="7"/>
  <c r="K10" i="7"/>
  <c r="J11" i="7"/>
  <c r="K11" i="7"/>
  <c r="J12" i="7"/>
  <c r="K12" i="7"/>
  <c r="J13" i="7"/>
  <c r="K13" i="7"/>
  <c r="J14" i="7"/>
  <c r="K14" i="7"/>
  <c r="J15" i="7"/>
  <c r="K15" i="7"/>
  <c r="J16" i="7"/>
  <c r="K16" i="7"/>
  <c r="J17" i="7"/>
  <c r="K17" i="7"/>
  <c r="J18" i="7"/>
  <c r="K18" i="7"/>
  <c r="J19" i="7"/>
  <c r="K19" i="7"/>
  <c r="J20" i="7"/>
  <c r="K20" i="7"/>
  <c r="J21" i="7"/>
  <c r="K21" i="7"/>
  <c r="K3" i="7"/>
  <c r="J3" i="7"/>
  <c r="L33" i="1"/>
  <c r="M33" i="1" s="1"/>
  <c r="L32" i="1"/>
  <c r="M32" i="1" s="1"/>
  <c r="L31" i="1"/>
  <c r="M31" i="1" s="1"/>
  <c r="E7" i="4"/>
  <c r="F7" i="4"/>
  <c r="G7" i="4"/>
  <c r="H7" i="4"/>
  <c r="I7" i="4"/>
  <c r="J7" i="4"/>
  <c r="K7" i="4"/>
  <c r="L7" i="4"/>
  <c r="M7" i="4"/>
  <c r="E8" i="4"/>
  <c r="F8" i="4"/>
  <c r="G8" i="4"/>
  <c r="H8" i="4"/>
  <c r="I8" i="4"/>
  <c r="J8" i="4"/>
  <c r="K8" i="4"/>
  <c r="L8" i="4"/>
  <c r="M8" i="4"/>
  <c r="E9" i="4"/>
  <c r="F9" i="4"/>
  <c r="G9" i="4"/>
  <c r="H9" i="4"/>
  <c r="I9" i="4"/>
  <c r="J9" i="4"/>
  <c r="K9" i="4"/>
  <c r="L9" i="4"/>
  <c r="M9" i="4"/>
  <c r="E10" i="4"/>
  <c r="F10" i="4"/>
  <c r="G10" i="4"/>
  <c r="H10" i="4"/>
  <c r="I10" i="4"/>
  <c r="J10" i="4"/>
  <c r="K10" i="4"/>
  <c r="L10" i="4"/>
  <c r="M10" i="4"/>
  <c r="D8" i="4"/>
  <c r="D9" i="4"/>
  <c r="D10" i="4"/>
  <c r="D7" i="4"/>
  <c r="L35" i="1"/>
  <c r="M35" i="1" s="1"/>
  <c r="BD35" i="1"/>
  <c r="BP35" i="1" s="1"/>
  <c r="L42" i="1"/>
  <c r="M42" i="1" s="1"/>
  <c r="BD42" i="1"/>
  <c r="BP42" i="1" s="1"/>
  <c r="BD38" i="1"/>
  <c r="BP38" i="1" s="1"/>
  <c r="BD39" i="1"/>
  <c r="BP39" i="1" s="1"/>
  <c r="BD40" i="1"/>
  <c r="BP40" i="1" s="1"/>
  <c r="BD5" i="1"/>
  <c r="BP5" i="1" s="1"/>
  <c r="BD6" i="1"/>
  <c r="BP6" i="1" s="1"/>
  <c r="BD7" i="1"/>
  <c r="BP7" i="1" s="1"/>
  <c r="BD8" i="1"/>
  <c r="BP8" i="1" s="1"/>
  <c r="BD9" i="1"/>
  <c r="BP9" i="1" s="1"/>
  <c r="BD11" i="1"/>
  <c r="BP11" i="1" s="1"/>
  <c r="BD12" i="1"/>
  <c r="BP12" i="1" s="1"/>
  <c r="BD13" i="1"/>
  <c r="BP13" i="1" s="1"/>
  <c r="BD14" i="1"/>
  <c r="BP14" i="1" s="1"/>
  <c r="BP15" i="1"/>
  <c r="BD16" i="1"/>
  <c r="BP16" i="1" s="1"/>
  <c r="BD17" i="1"/>
  <c r="BP17" i="1" s="1"/>
  <c r="BD18" i="1"/>
  <c r="BP18" i="1" s="1"/>
  <c r="BD19" i="1"/>
  <c r="BP19" i="1" s="1"/>
  <c r="BD20" i="1"/>
  <c r="BP20" i="1" s="1"/>
  <c r="BD25" i="1"/>
  <c r="BP25" i="1" s="1"/>
  <c r="BD26" i="1"/>
  <c r="BP26" i="1" s="1"/>
  <c r="BD27" i="1"/>
  <c r="BP27" i="1" s="1"/>
  <c r="BD28" i="1"/>
  <c r="BP28" i="1" s="1"/>
  <c r="BD29" i="1"/>
  <c r="BP29" i="1" s="1"/>
  <c r="BD30" i="1"/>
  <c r="BP30" i="1" s="1"/>
  <c r="BD43" i="1"/>
  <c r="BP43" i="1" s="1"/>
  <c r="BD45" i="1"/>
  <c r="BP45" i="1" s="1"/>
  <c r="BD46" i="1"/>
  <c r="BP46" i="1" s="1"/>
  <c r="BD47" i="1"/>
  <c r="BP47" i="1" s="1"/>
  <c r="BD51" i="1"/>
  <c r="BP51" i="1" s="1"/>
  <c r="BD52" i="1"/>
  <c r="BP52" i="1" s="1"/>
  <c r="BD53" i="1"/>
  <c r="BP53" i="1" s="1"/>
  <c r="BD54" i="1"/>
  <c r="BP54" i="1" s="1"/>
  <c r="BD56" i="1"/>
  <c r="BP56" i="1" s="1"/>
  <c r="BD37" i="1"/>
  <c r="BP37" i="1" s="1"/>
  <c r="BD3" i="1"/>
  <c r="BP3" i="1" s="1"/>
  <c r="BQ2" i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BE2" i="1"/>
  <c r="L37" i="1"/>
  <c r="M37" i="1" s="1"/>
  <c r="L38" i="1"/>
  <c r="M38" i="1" s="1"/>
  <c r="L39" i="1"/>
  <c r="M39" i="1" s="1"/>
  <c r="L40" i="1"/>
  <c r="M40" i="1" s="1"/>
  <c r="L5" i="1"/>
  <c r="M5" i="1" s="1"/>
  <c r="L6" i="1"/>
  <c r="M6" i="1" s="1"/>
  <c r="L7" i="1"/>
  <c r="M7" i="1" s="1"/>
  <c r="L8" i="1"/>
  <c r="M8" i="1" s="1"/>
  <c r="L9" i="1"/>
  <c r="M9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43" i="1"/>
  <c r="M43" i="1" s="1"/>
  <c r="L45" i="1"/>
  <c r="M45" i="1" s="1"/>
  <c r="L46" i="1"/>
  <c r="M46" i="1" s="1"/>
  <c r="L47" i="1"/>
  <c r="M47" i="1" s="1"/>
  <c r="L51" i="1"/>
  <c r="M51" i="1" s="1"/>
  <c r="L52" i="1"/>
  <c r="M52" i="1" s="1"/>
  <c r="L53" i="1"/>
  <c r="M53" i="1" s="1"/>
  <c r="L54" i="1"/>
  <c r="M54" i="1" s="1"/>
  <c r="L56" i="1"/>
  <c r="M56" i="1" s="1"/>
  <c r="L3" i="1"/>
  <c r="M3" i="1" s="1"/>
  <c r="AJ2" i="1"/>
  <c r="AK2" i="1" s="1"/>
  <c r="AL2" i="1" s="1"/>
  <c r="AM2" i="1" s="1"/>
  <c r="AN2" i="1" s="1"/>
  <c r="AO2" i="1" s="1"/>
  <c r="AP2" i="1" s="1"/>
  <c r="AQ2" i="1" s="1"/>
  <c r="AR2" i="1" s="1"/>
  <c r="O2" i="1"/>
  <c r="O100" i="1" l="1"/>
  <c r="AJ100" i="1" s="1"/>
  <c r="O104" i="1"/>
  <c r="AJ104" i="1" s="1"/>
  <c r="O103" i="1"/>
  <c r="AJ103" i="1" s="1"/>
  <c r="O105" i="1"/>
  <c r="AJ105" i="1" s="1"/>
  <c r="O102" i="1"/>
  <c r="AJ102" i="1" s="1"/>
  <c r="O101" i="1"/>
  <c r="AJ101" i="1" s="1"/>
  <c r="O41" i="1"/>
  <c r="AJ41" i="1" s="1"/>
  <c r="O121" i="1"/>
  <c r="AJ121" i="1" s="1"/>
  <c r="O123" i="1"/>
  <c r="AJ123" i="1" s="1"/>
  <c r="O114" i="1"/>
  <c r="AJ114" i="1" s="1"/>
  <c r="O110" i="1"/>
  <c r="AJ110" i="1" s="1"/>
  <c r="O86" i="1"/>
  <c r="AJ86" i="1" s="1"/>
  <c r="O106" i="1"/>
  <c r="AJ106" i="1" s="1"/>
  <c r="O120" i="1"/>
  <c r="AJ120" i="1" s="1"/>
  <c r="O122" i="1"/>
  <c r="AJ122" i="1" s="1"/>
  <c r="O115" i="1"/>
  <c r="AJ115" i="1" s="1"/>
  <c r="O108" i="1"/>
  <c r="AJ108" i="1" s="1"/>
  <c r="O118" i="1"/>
  <c r="AJ118" i="1" s="1"/>
  <c r="O119" i="1"/>
  <c r="AJ119" i="1" s="1"/>
  <c r="O81" i="1"/>
  <c r="AJ81" i="1" s="1"/>
  <c r="O117" i="1"/>
  <c r="AJ117" i="1" s="1"/>
  <c r="O91" i="1"/>
  <c r="AJ91" i="1" s="1"/>
  <c r="O112" i="1"/>
  <c r="AJ112" i="1" s="1"/>
  <c r="O113" i="1"/>
  <c r="AJ113" i="1" s="1"/>
  <c r="O107" i="1"/>
  <c r="AJ107" i="1" s="1"/>
  <c r="O116" i="1"/>
  <c r="AJ116" i="1" s="1"/>
  <c r="O111" i="1"/>
  <c r="AJ111" i="1" s="1"/>
  <c r="O109" i="1"/>
  <c r="AJ109" i="1" s="1"/>
  <c r="BE36" i="1"/>
  <c r="BQ36" i="1" s="1"/>
  <c r="BE41" i="1"/>
  <c r="BQ41" i="1" s="1"/>
  <c r="O96" i="1"/>
  <c r="AJ96" i="1" s="1"/>
  <c r="O36" i="1"/>
  <c r="AJ36" i="1" s="1"/>
  <c r="O22" i="1"/>
  <c r="AJ22" i="1" s="1"/>
  <c r="O24" i="1"/>
  <c r="AJ24" i="1" s="1"/>
  <c r="O21" i="1"/>
  <c r="AJ21" i="1" s="1"/>
  <c r="O23" i="1"/>
  <c r="AJ23" i="1" s="1"/>
  <c r="O10" i="1"/>
  <c r="AJ10" i="1" s="1"/>
  <c r="BE22" i="1"/>
  <c r="BQ22" i="1" s="1"/>
  <c r="BE10" i="1"/>
  <c r="BQ10" i="1" s="1"/>
  <c r="BE24" i="1"/>
  <c r="BQ24" i="1" s="1"/>
  <c r="BE23" i="1"/>
  <c r="BQ23" i="1" s="1"/>
  <c r="BE21" i="1"/>
  <c r="BQ21" i="1" s="1"/>
  <c r="O34" i="1"/>
  <c r="AJ34" i="1" s="1"/>
  <c r="O97" i="1"/>
  <c r="AJ97" i="1" s="1"/>
  <c r="O62" i="1"/>
  <c r="AJ62" i="1" s="1"/>
  <c r="O61" i="1"/>
  <c r="AJ61" i="1" s="1"/>
  <c r="O60" i="1"/>
  <c r="AJ60" i="1" s="1"/>
  <c r="O98" i="1"/>
  <c r="AJ98" i="1" s="1"/>
  <c r="O99" i="1"/>
  <c r="AJ99" i="1" s="1"/>
  <c r="O90" i="1"/>
  <c r="AJ90" i="1" s="1"/>
  <c r="O4" i="1"/>
  <c r="AJ4" i="1" s="1"/>
  <c r="O87" i="1"/>
  <c r="AJ87" i="1" s="1"/>
  <c r="BE55" i="1"/>
  <c r="BQ55" i="1" s="1"/>
  <c r="BE4" i="1"/>
  <c r="BQ4" i="1" s="1"/>
  <c r="O82" i="1"/>
  <c r="AJ82" i="1" s="1"/>
  <c r="O65" i="1"/>
  <c r="AJ65" i="1" s="1"/>
  <c r="O64" i="1"/>
  <c r="AJ64" i="1" s="1"/>
  <c r="O63" i="1"/>
  <c r="AJ63" i="1" s="1"/>
  <c r="O68" i="1"/>
  <c r="AJ68" i="1" s="1"/>
  <c r="O67" i="1"/>
  <c r="AJ67" i="1" s="1"/>
  <c r="O66" i="1"/>
  <c r="AJ66" i="1" s="1"/>
  <c r="O58" i="1"/>
  <c r="AJ58" i="1" s="1"/>
  <c r="AS2" i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O72" i="1"/>
  <c r="AJ72" i="1" s="1"/>
  <c r="O75" i="1"/>
  <c r="AJ75" i="1" s="1"/>
  <c r="O79" i="1"/>
  <c r="AJ79" i="1" s="1"/>
  <c r="O70" i="1"/>
  <c r="AJ70" i="1" s="1"/>
  <c r="O69" i="1"/>
  <c r="AJ69" i="1" s="1"/>
  <c r="O77" i="1"/>
  <c r="AJ77" i="1" s="1"/>
  <c r="O92" i="1"/>
  <c r="AJ92" i="1" s="1"/>
  <c r="O93" i="1"/>
  <c r="AJ93" i="1" s="1"/>
  <c r="O88" i="1"/>
  <c r="AJ88" i="1" s="1"/>
  <c r="O84" i="1"/>
  <c r="AJ84" i="1" s="1"/>
  <c r="O95" i="1"/>
  <c r="AJ95" i="1" s="1"/>
  <c r="O59" i="1"/>
  <c r="AJ59" i="1" s="1"/>
  <c r="O71" i="1"/>
  <c r="AJ71" i="1" s="1"/>
  <c r="O73" i="1"/>
  <c r="AJ73" i="1" s="1"/>
  <c r="O74" i="1"/>
  <c r="AJ74" i="1" s="1"/>
  <c r="O76" i="1"/>
  <c r="AJ76" i="1" s="1"/>
  <c r="O78" i="1"/>
  <c r="AJ78" i="1" s="1"/>
  <c r="O80" i="1"/>
  <c r="AJ80" i="1" s="1"/>
  <c r="O89" i="1"/>
  <c r="AJ89" i="1" s="1"/>
  <c r="O85" i="1"/>
  <c r="AJ85" i="1" s="1"/>
  <c r="O83" i="1"/>
  <c r="AJ83" i="1" s="1"/>
  <c r="O94" i="1"/>
  <c r="AJ94" i="1" s="1"/>
  <c r="O6" i="1"/>
  <c r="AJ6" i="1" s="1"/>
  <c r="O11" i="1"/>
  <c r="AJ11" i="1" s="1"/>
  <c r="O15" i="1"/>
  <c r="AJ15" i="1" s="1"/>
  <c r="O7" i="1"/>
  <c r="AJ7" i="1" s="1"/>
  <c r="O12" i="1"/>
  <c r="AJ12" i="1" s="1"/>
  <c r="O16" i="1"/>
  <c r="AJ16" i="1" s="1"/>
  <c r="O20" i="1"/>
  <c r="AJ20" i="1" s="1"/>
  <c r="O25" i="1"/>
  <c r="AJ25" i="1" s="1"/>
  <c r="O29" i="1"/>
  <c r="AJ29" i="1" s="1"/>
  <c r="O45" i="1"/>
  <c r="AJ45" i="1" s="1"/>
  <c r="O49" i="1"/>
  <c r="AJ49" i="1" s="1"/>
  <c r="O53" i="1"/>
  <c r="AJ53" i="1" s="1"/>
  <c r="O17" i="1"/>
  <c r="AJ17" i="1" s="1"/>
  <c r="O31" i="1"/>
  <c r="AJ31" i="1" s="1"/>
  <c r="O26" i="1"/>
  <c r="AJ26" i="1" s="1"/>
  <c r="O30" i="1"/>
  <c r="AJ30" i="1" s="1"/>
  <c r="O46" i="1"/>
  <c r="AJ46" i="1" s="1"/>
  <c r="O50" i="1"/>
  <c r="AJ50" i="1" s="1"/>
  <c r="O5" i="1"/>
  <c r="AJ5" i="1" s="1"/>
  <c r="O9" i="1"/>
  <c r="AJ9" i="1" s="1"/>
  <c r="O14" i="1"/>
  <c r="AJ14" i="1" s="1"/>
  <c r="O19" i="1"/>
  <c r="AJ19" i="1" s="1"/>
  <c r="O33" i="1"/>
  <c r="AJ33" i="1" s="1"/>
  <c r="O18" i="1"/>
  <c r="AJ18" i="1" s="1"/>
  <c r="O32" i="1"/>
  <c r="AJ32" i="1" s="1"/>
  <c r="O27" i="1"/>
  <c r="AJ27" i="1" s="1"/>
  <c r="O43" i="1"/>
  <c r="AJ43" i="1" s="1"/>
  <c r="O47" i="1"/>
  <c r="AJ47" i="1" s="1"/>
  <c r="O51" i="1"/>
  <c r="AJ51" i="1" s="1"/>
  <c r="O56" i="1"/>
  <c r="AJ56" i="1" s="1"/>
  <c r="O38" i="1"/>
  <c r="AJ38" i="1" s="1"/>
  <c r="O42" i="1"/>
  <c r="AJ42" i="1" s="1"/>
  <c r="O3" i="1"/>
  <c r="AJ3" i="1" s="1"/>
  <c r="O8" i="1"/>
  <c r="AJ8" i="1" s="1"/>
  <c r="O13" i="1"/>
  <c r="AJ13" i="1" s="1"/>
  <c r="O57" i="1"/>
  <c r="AJ57" i="1" s="1"/>
  <c r="O39" i="1"/>
  <c r="AJ39" i="1" s="1"/>
  <c r="O40" i="1"/>
  <c r="AJ40" i="1" s="1"/>
  <c r="O54" i="1"/>
  <c r="AJ54" i="1" s="1"/>
  <c r="O28" i="1"/>
  <c r="AJ28" i="1" s="1"/>
  <c r="O44" i="1"/>
  <c r="AJ44" i="1" s="1"/>
  <c r="O48" i="1"/>
  <c r="AJ48" i="1" s="1"/>
  <c r="O52" i="1"/>
  <c r="AJ52" i="1" s="1"/>
  <c r="O55" i="1"/>
  <c r="AJ55" i="1" s="1"/>
  <c r="O37" i="1"/>
  <c r="AJ37" i="1" s="1"/>
  <c r="O35" i="1"/>
  <c r="AJ35" i="1" s="1"/>
  <c r="BE3" i="1"/>
  <c r="BQ3" i="1" s="1"/>
  <c r="BE49" i="1"/>
  <c r="BQ49" i="1" s="1"/>
  <c r="BE50" i="1"/>
  <c r="BQ50" i="1" s="1"/>
  <c r="BE48" i="1"/>
  <c r="BQ48" i="1" s="1"/>
  <c r="P2" i="1"/>
  <c r="G32" i="5"/>
  <c r="H32" i="5" s="1"/>
  <c r="G31" i="5"/>
  <c r="H31" i="5" s="1"/>
  <c r="D29" i="5"/>
  <c r="BE35" i="1"/>
  <c r="BQ35" i="1" s="1"/>
  <c r="BE42" i="1"/>
  <c r="BQ42" i="1" s="1"/>
  <c r="BF2" i="1"/>
  <c r="BE38" i="1"/>
  <c r="BQ38" i="1" s="1"/>
  <c r="BE39" i="1"/>
  <c r="BQ39" i="1" s="1"/>
  <c r="BE40" i="1"/>
  <c r="BQ40" i="1" s="1"/>
  <c r="BE5" i="1"/>
  <c r="BQ5" i="1" s="1"/>
  <c r="BE6" i="1"/>
  <c r="BQ6" i="1" s="1"/>
  <c r="BE7" i="1"/>
  <c r="BQ7" i="1" s="1"/>
  <c r="BE8" i="1"/>
  <c r="BQ8" i="1" s="1"/>
  <c r="BE9" i="1"/>
  <c r="BQ9" i="1" s="1"/>
  <c r="BE11" i="1"/>
  <c r="BQ11" i="1" s="1"/>
  <c r="BE12" i="1"/>
  <c r="BQ12" i="1" s="1"/>
  <c r="BE13" i="1"/>
  <c r="BQ13" i="1" s="1"/>
  <c r="BE14" i="1"/>
  <c r="BQ14" i="1" s="1"/>
  <c r="BE15" i="1"/>
  <c r="BQ15" i="1" s="1"/>
  <c r="BE16" i="1"/>
  <c r="BQ16" i="1" s="1"/>
  <c r="BE17" i="1"/>
  <c r="BQ17" i="1" s="1"/>
  <c r="BE18" i="1"/>
  <c r="BQ18" i="1" s="1"/>
  <c r="BE19" i="1"/>
  <c r="BQ19" i="1" s="1"/>
  <c r="BE20" i="1"/>
  <c r="BQ20" i="1" s="1"/>
  <c r="BE25" i="1"/>
  <c r="BQ25" i="1" s="1"/>
  <c r="BE26" i="1"/>
  <c r="BQ26" i="1" s="1"/>
  <c r="BE27" i="1"/>
  <c r="BQ27" i="1" s="1"/>
  <c r="BE28" i="1"/>
  <c r="BQ28" i="1" s="1"/>
  <c r="BE29" i="1"/>
  <c r="BQ29" i="1" s="1"/>
  <c r="BE30" i="1"/>
  <c r="BQ30" i="1" s="1"/>
  <c r="BE43" i="1"/>
  <c r="BQ43" i="1" s="1"/>
  <c r="BE45" i="1"/>
  <c r="BQ45" i="1" s="1"/>
  <c r="BE46" i="1"/>
  <c r="BQ46" i="1" s="1"/>
  <c r="BE47" i="1"/>
  <c r="BQ47" i="1" s="1"/>
  <c r="BE51" i="1"/>
  <c r="BQ51" i="1" s="1"/>
  <c r="BE52" i="1"/>
  <c r="BQ52" i="1" s="1"/>
  <c r="BE53" i="1"/>
  <c r="BQ53" i="1" s="1"/>
  <c r="BE54" i="1"/>
  <c r="BQ54" i="1" s="1"/>
  <c r="BE56" i="1"/>
  <c r="BQ56" i="1" s="1"/>
  <c r="BE37" i="1"/>
  <c r="BQ37" i="1" s="1"/>
  <c r="P104" i="1" l="1"/>
  <c r="AK104" i="1" s="1"/>
  <c r="P103" i="1"/>
  <c r="AK103" i="1" s="1"/>
  <c r="P102" i="1"/>
  <c r="AK102" i="1" s="1"/>
  <c r="P105" i="1"/>
  <c r="AK105" i="1" s="1"/>
  <c r="P101" i="1"/>
  <c r="AK101" i="1" s="1"/>
  <c r="P100" i="1"/>
  <c r="AK100" i="1" s="1"/>
  <c r="P117" i="1"/>
  <c r="AK117" i="1" s="1"/>
  <c r="P123" i="1"/>
  <c r="AK123" i="1" s="1"/>
  <c r="P111" i="1"/>
  <c r="AK111" i="1" s="1"/>
  <c r="P114" i="1"/>
  <c r="AK114" i="1" s="1"/>
  <c r="P119" i="1"/>
  <c r="AK119" i="1" s="1"/>
  <c r="P115" i="1"/>
  <c r="AK115" i="1" s="1"/>
  <c r="P113" i="1"/>
  <c r="AK113" i="1" s="1"/>
  <c r="P121" i="1"/>
  <c r="AK121" i="1" s="1"/>
  <c r="P108" i="1"/>
  <c r="AK108" i="1" s="1"/>
  <c r="P109" i="1"/>
  <c r="AK109" i="1" s="1"/>
  <c r="P120" i="1"/>
  <c r="AK120" i="1" s="1"/>
  <c r="P116" i="1"/>
  <c r="AK116" i="1" s="1"/>
  <c r="P81" i="1"/>
  <c r="AK81" i="1" s="1"/>
  <c r="P122" i="1"/>
  <c r="AK122" i="1" s="1"/>
  <c r="P91" i="1"/>
  <c r="AK91" i="1" s="1"/>
  <c r="P118" i="1"/>
  <c r="AK118" i="1" s="1"/>
  <c r="P86" i="1"/>
  <c r="AK86" i="1" s="1"/>
  <c r="P107" i="1"/>
  <c r="AK107" i="1" s="1"/>
  <c r="P110" i="1"/>
  <c r="AK110" i="1" s="1"/>
  <c r="P106" i="1"/>
  <c r="AK106" i="1" s="1"/>
  <c r="P112" i="1"/>
  <c r="AK112" i="1" s="1"/>
  <c r="P41" i="1"/>
  <c r="AK41" i="1" s="1"/>
  <c r="BF36" i="1"/>
  <c r="BR36" i="1" s="1"/>
  <c r="BF41" i="1"/>
  <c r="BR41" i="1" s="1"/>
  <c r="P36" i="1"/>
  <c r="AK36" i="1" s="1"/>
  <c r="P96" i="1"/>
  <c r="AK96" i="1" s="1"/>
  <c r="BF10" i="1"/>
  <c r="BR10" i="1" s="1"/>
  <c r="BF24" i="1"/>
  <c r="BR24" i="1" s="1"/>
  <c r="BF23" i="1"/>
  <c r="BR23" i="1" s="1"/>
  <c r="BF21" i="1"/>
  <c r="BR21" i="1" s="1"/>
  <c r="BF22" i="1"/>
  <c r="BR22" i="1" s="1"/>
  <c r="P24" i="1"/>
  <c r="AK24" i="1" s="1"/>
  <c r="P21" i="1"/>
  <c r="AK21" i="1" s="1"/>
  <c r="P23" i="1"/>
  <c r="AK23" i="1" s="1"/>
  <c r="P10" i="1"/>
  <c r="AK10" i="1" s="1"/>
  <c r="P22" i="1"/>
  <c r="AK22" i="1" s="1"/>
  <c r="P34" i="1"/>
  <c r="AK34" i="1" s="1"/>
  <c r="P98" i="1"/>
  <c r="AK98" i="1" s="1"/>
  <c r="P99" i="1"/>
  <c r="AK99" i="1" s="1"/>
  <c r="P62" i="1"/>
  <c r="AK62" i="1" s="1"/>
  <c r="P61" i="1"/>
  <c r="AK61" i="1" s="1"/>
  <c r="P60" i="1"/>
  <c r="AK60" i="1" s="1"/>
  <c r="P97" i="1"/>
  <c r="AK97" i="1" s="1"/>
  <c r="BF55" i="1"/>
  <c r="BR55" i="1" s="1"/>
  <c r="BF4" i="1"/>
  <c r="BR4" i="1" s="1"/>
  <c r="P82" i="1"/>
  <c r="AK82" i="1" s="1"/>
  <c r="P4" i="1"/>
  <c r="AK4" i="1" s="1"/>
  <c r="P90" i="1"/>
  <c r="AK90" i="1" s="1"/>
  <c r="P87" i="1"/>
  <c r="AK87" i="1" s="1"/>
  <c r="P68" i="1"/>
  <c r="AK68" i="1" s="1"/>
  <c r="P67" i="1"/>
  <c r="AK67" i="1" s="1"/>
  <c r="P66" i="1"/>
  <c r="AK66" i="1" s="1"/>
  <c r="P65" i="1"/>
  <c r="AK65" i="1" s="1"/>
  <c r="P64" i="1"/>
  <c r="AK64" i="1" s="1"/>
  <c r="P63" i="1"/>
  <c r="AK63" i="1" s="1"/>
  <c r="P58" i="1"/>
  <c r="AK58" i="1" s="1"/>
  <c r="P71" i="1"/>
  <c r="AK71" i="1" s="1"/>
  <c r="P74" i="1"/>
  <c r="AK74" i="1" s="1"/>
  <c r="P78" i="1"/>
  <c r="AK78" i="1" s="1"/>
  <c r="P59" i="1"/>
  <c r="AK59" i="1" s="1"/>
  <c r="P73" i="1"/>
  <c r="AK73" i="1" s="1"/>
  <c r="P76" i="1"/>
  <c r="AK76" i="1" s="1"/>
  <c r="P80" i="1"/>
  <c r="AK80" i="1" s="1"/>
  <c r="P72" i="1"/>
  <c r="AK72" i="1" s="1"/>
  <c r="P75" i="1"/>
  <c r="AK75" i="1" s="1"/>
  <c r="P79" i="1"/>
  <c r="AK79" i="1" s="1"/>
  <c r="P89" i="1"/>
  <c r="AK89" i="1" s="1"/>
  <c r="P85" i="1"/>
  <c r="AK85" i="1" s="1"/>
  <c r="P70" i="1"/>
  <c r="AK70" i="1" s="1"/>
  <c r="P69" i="1"/>
  <c r="AK69" i="1" s="1"/>
  <c r="P77" i="1"/>
  <c r="AK77" i="1" s="1"/>
  <c r="P83" i="1"/>
  <c r="AK83" i="1" s="1"/>
  <c r="P94" i="1"/>
  <c r="AK94" i="1" s="1"/>
  <c r="P92" i="1"/>
  <c r="AK92" i="1" s="1"/>
  <c r="P93" i="1"/>
  <c r="AK93" i="1" s="1"/>
  <c r="P95" i="1"/>
  <c r="AK95" i="1" s="1"/>
  <c r="P88" i="1"/>
  <c r="AK88" i="1" s="1"/>
  <c r="P84" i="1"/>
  <c r="AK84" i="1" s="1"/>
  <c r="P5" i="1"/>
  <c r="AK5" i="1" s="1"/>
  <c r="P9" i="1"/>
  <c r="AK9" i="1" s="1"/>
  <c r="P14" i="1"/>
  <c r="AK14" i="1" s="1"/>
  <c r="P6" i="1"/>
  <c r="AK6" i="1" s="1"/>
  <c r="P11" i="1"/>
  <c r="AK11" i="1" s="1"/>
  <c r="P15" i="1"/>
  <c r="AK15" i="1" s="1"/>
  <c r="P7" i="1"/>
  <c r="AK7" i="1" s="1"/>
  <c r="P8" i="1"/>
  <c r="AK8" i="1" s="1"/>
  <c r="P12" i="1"/>
  <c r="AK12" i="1" s="1"/>
  <c r="P13" i="1"/>
  <c r="AK13" i="1" s="1"/>
  <c r="P19" i="1"/>
  <c r="AK19" i="1" s="1"/>
  <c r="P33" i="1"/>
  <c r="AK33" i="1" s="1"/>
  <c r="P28" i="1"/>
  <c r="AK28" i="1" s="1"/>
  <c r="P44" i="1"/>
  <c r="AK44" i="1" s="1"/>
  <c r="P48" i="1"/>
  <c r="AK48" i="1" s="1"/>
  <c r="P52" i="1"/>
  <c r="AK52" i="1" s="1"/>
  <c r="P16" i="1"/>
  <c r="AK16" i="1" s="1"/>
  <c r="P20" i="1"/>
  <c r="AK20" i="1" s="1"/>
  <c r="P25" i="1"/>
  <c r="AK25" i="1" s="1"/>
  <c r="P29" i="1"/>
  <c r="AK29" i="1" s="1"/>
  <c r="P45" i="1"/>
  <c r="AK45" i="1" s="1"/>
  <c r="P49" i="1"/>
  <c r="AK49" i="1" s="1"/>
  <c r="P54" i="1"/>
  <c r="AK54" i="1" s="1"/>
  <c r="P55" i="1"/>
  <c r="AK55" i="1" s="1"/>
  <c r="P37" i="1"/>
  <c r="AK37" i="1" s="1"/>
  <c r="P17" i="1"/>
  <c r="AK17" i="1" s="1"/>
  <c r="P18" i="1"/>
  <c r="AK18" i="1" s="1"/>
  <c r="P31" i="1"/>
  <c r="AK31" i="1" s="1"/>
  <c r="P32" i="1"/>
  <c r="AK32" i="1" s="1"/>
  <c r="P26" i="1"/>
  <c r="AK26" i="1" s="1"/>
  <c r="P27" i="1"/>
  <c r="AK27" i="1" s="1"/>
  <c r="P30" i="1"/>
  <c r="AK30" i="1" s="1"/>
  <c r="P43" i="1"/>
  <c r="AK43" i="1" s="1"/>
  <c r="P46" i="1"/>
  <c r="AK46" i="1" s="1"/>
  <c r="P47" i="1"/>
  <c r="AK47" i="1" s="1"/>
  <c r="P50" i="1"/>
  <c r="AK50" i="1" s="1"/>
  <c r="P51" i="1"/>
  <c r="AK51" i="1" s="1"/>
  <c r="P56" i="1"/>
  <c r="AK56" i="1" s="1"/>
  <c r="P38" i="1"/>
  <c r="AK38" i="1" s="1"/>
  <c r="P42" i="1"/>
  <c r="AK42" i="1" s="1"/>
  <c r="P3" i="1"/>
  <c r="AK3" i="1" s="1"/>
  <c r="P53" i="1"/>
  <c r="AK53" i="1" s="1"/>
  <c r="P57" i="1"/>
  <c r="AK57" i="1" s="1"/>
  <c r="P35" i="1"/>
  <c r="AK35" i="1" s="1"/>
  <c r="P40" i="1"/>
  <c r="AK40" i="1" s="1"/>
  <c r="P39" i="1"/>
  <c r="AK39" i="1" s="1"/>
  <c r="Q2" i="1"/>
  <c r="BF50" i="1"/>
  <c r="BR50" i="1" s="1"/>
  <c r="BF48" i="1"/>
  <c r="BR48" i="1" s="1"/>
  <c r="BF49" i="1"/>
  <c r="BR49" i="1" s="1"/>
  <c r="H33" i="5"/>
  <c r="D33" i="5"/>
  <c r="D32" i="5"/>
  <c r="BF42" i="1"/>
  <c r="BR42" i="1" s="1"/>
  <c r="BF35" i="1"/>
  <c r="BR35" i="1" s="1"/>
  <c r="BG2" i="1"/>
  <c r="BF38" i="1"/>
  <c r="BR38" i="1" s="1"/>
  <c r="BF39" i="1"/>
  <c r="BR39" i="1" s="1"/>
  <c r="BF40" i="1"/>
  <c r="BR40" i="1" s="1"/>
  <c r="BF5" i="1"/>
  <c r="BR5" i="1" s="1"/>
  <c r="BF6" i="1"/>
  <c r="BR6" i="1" s="1"/>
  <c r="BF7" i="1"/>
  <c r="BR7" i="1" s="1"/>
  <c r="BF8" i="1"/>
  <c r="BR8" i="1" s="1"/>
  <c r="BF9" i="1"/>
  <c r="BR9" i="1" s="1"/>
  <c r="BF11" i="1"/>
  <c r="BR11" i="1" s="1"/>
  <c r="BF12" i="1"/>
  <c r="BR12" i="1" s="1"/>
  <c r="BF13" i="1"/>
  <c r="BR13" i="1" s="1"/>
  <c r="BF14" i="1"/>
  <c r="BR14" i="1" s="1"/>
  <c r="BF15" i="1"/>
  <c r="BR15" i="1" s="1"/>
  <c r="BF16" i="1"/>
  <c r="BR16" i="1" s="1"/>
  <c r="BF17" i="1"/>
  <c r="BR17" i="1" s="1"/>
  <c r="BF18" i="1"/>
  <c r="BR18" i="1" s="1"/>
  <c r="BF19" i="1"/>
  <c r="BR19" i="1" s="1"/>
  <c r="BF20" i="1"/>
  <c r="BR20" i="1" s="1"/>
  <c r="BF26" i="1"/>
  <c r="BR26" i="1" s="1"/>
  <c r="BF28" i="1"/>
  <c r="BR28" i="1" s="1"/>
  <c r="BF30" i="1"/>
  <c r="BR30" i="1" s="1"/>
  <c r="BF45" i="1"/>
  <c r="BR45" i="1" s="1"/>
  <c r="BF51" i="1"/>
  <c r="BR51" i="1" s="1"/>
  <c r="BF53" i="1"/>
  <c r="BR53" i="1" s="1"/>
  <c r="BF56" i="1"/>
  <c r="BR56" i="1" s="1"/>
  <c r="BF3" i="1"/>
  <c r="BR3" i="1" s="1"/>
  <c r="BF25" i="1"/>
  <c r="BR25" i="1" s="1"/>
  <c r="BF27" i="1"/>
  <c r="BR27" i="1" s="1"/>
  <c r="BF29" i="1"/>
  <c r="BR29" i="1" s="1"/>
  <c r="BF43" i="1"/>
  <c r="BR43" i="1" s="1"/>
  <c r="BF46" i="1"/>
  <c r="BR46" i="1" s="1"/>
  <c r="BF47" i="1"/>
  <c r="BR47" i="1" s="1"/>
  <c r="BF52" i="1"/>
  <c r="BR52" i="1" s="1"/>
  <c r="BF54" i="1"/>
  <c r="BR54" i="1" s="1"/>
  <c r="BF37" i="1"/>
  <c r="BR37" i="1" s="1"/>
  <c r="Q105" i="1" l="1"/>
  <c r="AL105" i="1" s="1"/>
  <c r="Q101" i="1"/>
  <c r="AL101" i="1" s="1"/>
  <c r="Q102" i="1"/>
  <c r="AL102" i="1" s="1"/>
  <c r="Q100" i="1"/>
  <c r="AL100" i="1" s="1"/>
  <c r="Q104" i="1"/>
  <c r="AL104" i="1" s="1"/>
  <c r="Q103" i="1"/>
  <c r="AL103" i="1" s="1"/>
  <c r="Q41" i="1"/>
  <c r="AL41" i="1" s="1"/>
  <c r="Q122" i="1"/>
  <c r="AL122" i="1" s="1"/>
  <c r="Q121" i="1"/>
  <c r="AL121" i="1" s="1"/>
  <c r="Q112" i="1"/>
  <c r="AL112" i="1" s="1"/>
  <c r="Q109" i="1"/>
  <c r="AL109" i="1" s="1"/>
  <c r="Q110" i="1"/>
  <c r="AL110" i="1" s="1"/>
  <c r="Q120" i="1"/>
  <c r="AL120" i="1" s="1"/>
  <c r="Q117" i="1"/>
  <c r="AL117" i="1" s="1"/>
  <c r="Q111" i="1"/>
  <c r="AL111" i="1" s="1"/>
  <c r="Q81" i="1"/>
  <c r="AL81" i="1" s="1"/>
  <c r="Q118" i="1"/>
  <c r="AL118" i="1" s="1"/>
  <c r="Q91" i="1"/>
  <c r="AL91" i="1" s="1"/>
  <c r="Q116" i="1"/>
  <c r="AL116" i="1" s="1"/>
  <c r="Q106" i="1"/>
  <c r="AL106" i="1" s="1"/>
  <c r="Q86" i="1"/>
  <c r="AL86" i="1" s="1"/>
  <c r="Q114" i="1"/>
  <c r="AL114" i="1" s="1"/>
  <c r="Q115" i="1"/>
  <c r="AL115" i="1" s="1"/>
  <c r="Q113" i="1"/>
  <c r="AL113" i="1" s="1"/>
  <c r="Q107" i="1"/>
  <c r="AL107" i="1" s="1"/>
  <c r="Q119" i="1"/>
  <c r="AL119" i="1" s="1"/>
  <c r="Q123" i="1"/>
  <c r="AL123" i="1" s="1"/>
  <c r="Q108" i="1"/>
  <c r="AL108" i="1" s="1"/>
  <c r="BG36" i="1"/>
  <c r="BS36" i="1" s="1"/>
  <c r="BG41" i="1"/>
  <c r="BS41" i="1" s="1"/>
  <c r="Q36" i="1"/>
  <c r="AL36" i="1" s="1"/>
  <c r="Q96" i="1"/>
  <c r="AL96" i="1" s="1"/>
  <c r="BG23" i="1"/>
  <c r="BS23" i="1" s="1"/>
  <c r="BG21" i="1"/>
  <c r="BS21" i="1" s="1"/>
  <c r="BG22" i="1"/>
  <c r="BS22" i="1" s="1"/>
  <c r="BG10" i="1"/>
  <c r="BS10" i="1" s="1"/>
  <c r="BG24" i="1"/>
  <c r="BS24" i="1" s="1"/>
  <c r="Q23" i="1"/>
  <c r="AL23" i="1" s="1"/>
  <c r="Q10" i="1"/>
  <c r="AL10" i="1" s="1"/>
  <c r="Q22" i="1"/>
  <c r="AL22" i="1" s="1"/>
  <c r="Q24" i="1"/>
  <c r="AL24" i="1" s="1"/>
  <c r="Q21" i="1"/>
  <c r="AL21" i="1" s="1"/>
  <c r="Q34" i="1"/>
  <c r="AL34" i="1" s="1"/>
  <c r="Q97" i="1"/>
  <c r="AL97" i="1" s="1"/>
  <c r="Q62" i="1"/>
  <c r="AL62" i="1" s="1"/>
  <c r="Q61" i="1"/>
  <c r="AL61" i="1" s="1"/>
  <c r="Q60" i="1"/>
  <c r="AL60" i="1" s="1"/>
  <c r="Q99" i="1"/>
  <c r="AL99" i="1" s="1"/>
  <c r="Q98" i="1"/>
  <c r="AL98" i="1" s="1"/>
  <c r="BG55" i="1"/>
  <c r="BS55" i="1" s="1"/>
  <c r="BG4" i="1"/>
  <c r="BS4" i="1" s="1"/>
  <c r="Q82" i="1"/>
  <c r="AL82" i="1" s="1"/>
  <c r="Q87" i="1"/>
  <c r="AL87" i="1" s="1"/>
  <c r="Q90" i="1"/>
  <c r="AL90" i="1" s="1"/>
  <c r="Q4" i="1"/>
  <c r="AL4" i="1" s="1"/>
  <c r="Q68" i="1"/>
  <c r="AL68" i="1" s="1"/>
  <c r="Q67" i="1"/>
  <c r="AL67" i="1" s="1"/>
  <c r="Q66" i="1"/>
  <c r="AL66" i="1" s="1"/>
  <c r="Q63" i="1"/>
  <c r="AL63" i="1" s="1"/>
  <c r="Q65" i="1"/>
  <c r="AL65" i="1" s="1"/>
  <c r="Q64" i="1"/>
  <c r="AL64" i="1" s="1"/>
  <c r="Q58" i="1"/>
  <c r="AL58" i="1" s="1"/>
  <c r="Q70" i="1"/>
  <c r="AL70" i="1" s="1"/>
  <c r="Q69" i="1"/>
  <c r="AL69" i="1" s="1"/>
  <c r="Q77" i="1"/>
  <c r="AL77" i="1" s="1"/>
  <c r="Q72" i="1"/>
  <c r="AL72" i="1" s="1"/>
  <c r="Q75" i="1"/>
  <c r="AL75" i="1" s="1"/>
  <c r="Q79" i="1"/>
  <c r="AL79" i="1" s="1"/>
  <c r="Q59" i="1"/>
  <c r="AL59" i="1" s="1"/>
  <c r="Q73" i="1"/>
  <c r="AL73" i="1" s="1"/>
  <c r="Q76" i="1"/>
  <c r="AL76" i="1" s="1"/>
  <c r="Q80" i="1"/>
  <c r="AL80" i="1" s="1"/>
  <c r="Q88" i="1"/>
  <c r="AL88" i="1" s="1"/>
  <c r="Q84" i="1"/>
  <c r="AL84" i="1" s="1"/>
  <c r="Q71" i="1"/>
  <c r="AL71" i="1" s="1"/>
  <c r="Q74" i="1"/>
  <c r="AL74" i="1" s="1"/>
  <c r="Q78" i="1"/>
  <c r="AL78" i="1" s="1"/>
  <c r="Q92" i="1"/>
  <c r="AL92" i="1" s="1"/>
  <c r="Q93" i="1"/>
  <c r="AL93" i="1" s="1"/>
  <c r="Q83" i="1"/>
  <c r="AL83" i="1" s="1"/>
  <c r="Q94" i="1"/>
  <c r="AL94" i="1" s="1"/>
  <c r="Q95" i="1"/>
  <c r="AL95" i="1" s="1"/>
  <c r="Q89" i="1"/>
  <c r="AL89" i="1" s="1"/>
  <c r="Q85" i="1"/>
  <c r="AL85" i="1" s="1"/>
  <c r="Q8" i="1"/>
  <c r="AL8" i="1" s="1"/>
  <c r="Q13" i="1"/>
  <c r="AL13" i="1" s="1"/>
  <c r="Q5" i="1"/>
  <c r="AL5" i="1" s="1"/>
  <c r="Q9" i="1"/>
  <c r="AL9" i="1" s="1"/>
  <c r="Q14" i="1"/>
  <c r="AL14" i="1" s="1"/>
  <c r="Q18" i="1"/>
  <c r="AL18" i="1" s="1"/>
  <c r="Q32" i="1"/>
  <c r="AL32" i="1" s="1"/>
  <c r="Q27" i="1"/>
  <c r="AL27" i="1" s="1"/>
  <c r="Q43" i="1"/>
  <c r="AL43" i="1" s="1"/>
  <c r="Q47" i="1"/>
  <c r="AL47" i="1" s="1"/>
  <c r="Q51" i="1"/>
  <c r="AL51" i="1" s="1"/>
  <c r="Q6" i="1"/>
  <c r="AL6" i="1" s="1"/>
  <c r="Q7" i="1"/>
  <c r="AL7" i="1" s="1"/>
  <c r="Q11" i="1"/>
  <c r="AL11" i="1" s="1"/>
  <c r="Q12" i="1"/>
  <c r="AL12" i="1" s="1"/>
  <c r="Q15" i="1"/>
  <c r="AL15" i="1" s="1"/>
  <c r="Q19" i="1"/>
  <c r="AL19" i="1" s="1"/>
  <c r="Q33" i="1"/>
  <c r="AL33" i="1" s="1"/>
  <c r="Q28" i="1"/>
  <c r="AL28" i="1" s="1"/>
  <c r="Q44" i="1"/>
  <c r="AL44" i="1" s="1"/>
  <c r="Q48" i="1"/>
  <c r="AL48" i="1" s="1"/>
  <c r="Q52" i="1"/>
  <c r="AL52" i="1" s="1"/>
  <c r="Q53" i="1"/>
  <c r="AL53" i="1" s="1"/>
  <c r="Q35" i="1"/>
  <c r="AL35" i="1" s="1"/>
  <c r="Q40" i="1"/>
  <c r="AL40" i="1" s="1"/>
  <c r="Q16" i="1"/>
  <c r="AL16" i="1" s="1"/>
  <c r="Q20" i="1"/>
  <c r="AL20" i="1" s="1"/>
  <c r="Q25" i="1"/>
  <c r="AL25" i="1" s="1"/>
  <c r="Q26" i="1"/>
  <c r="AL26" i="1" s="1"/>
  <c r="Q54" i="1"/>
  <c r="AL54" i="1" s="1"/>
  <c r="Q55" i="1"/>
  <c r="AL55" i="1" s="1"/>
  <c r="Q37" i="1"/>
  <c r="AL37" i="1" s="1"/>
  <c r="Q17" i="1"/>
  <c r="AL17" i="1" s="1"/>
  <c r="Q31" i="1"/>
  <c r="AL31" i="1" s="1"/>
  <c r="Q56" i="1"/>
  <c r="AL56" i="1" s="1"/>
  <c r="Q57" i="1"/>
  <c r="AL57" i="1" s="1"/>
  <c r="Q38" i="1"/>
  <c r="AL38" i="1" s="1"/>
  <c r="Q39" i="1"/>
  <c r="AL39" i="1" s="1"/>
  <c r="Q42" i="1"/>
  <c r="AL42" i="1" s="1"/>
  <c r="Q3" i="1"/>
  <c r="AL3" i="1" s="1"/>
  <c r="Q29" i="1"/>
  <c r="AL29" i="1" s="1"/>
  <c r="Q30" i="1"/>
  <c r="AL30" i="1" s="1"/>
  <c r="Q46" i="1"/>
  <c r="AL46" i="1" s="1"/>
  <c r="Q50" i="1"/>
  <c r="AL50" i="1" s="1"/>
  <c r="Q45" i="1"/>
  <c r="AL45" i="1" s="1"/>
  <c r="Q49" i="1"/>
  <c r="AL49" i="1" s="1"/>
  <c r="R2" i="1"/>
  <c r="BG50" i="1"/>
  <c r="BS50" i="1" s="1"/>
  <c r="BG48" i="1"/>
  <c r="BS48" i="1" s="1"/>
  <c r="BG49" i="1"/>
  <c r="BS49" i="1" s="1"/>
  <c r="D34" i="5"/>
  <c r="BG42" i="1"/>
  <c r="BS42" i="1" s="1"/>
  <c r="BG35" i="1"/>
  <c r="BS35" i="1" s="1"/>
  <c r="BH2" i="1"/>
  <c r="BG3" i="1"/>
  <c r="BS3" i="1" s="1"/>
  <c r="BG38" i="1"/>
  <c r="BS38" i="1" s="1"/>
  <c r="BG39" i="1"/>
  <c r="BS39" i="1" s="1"/>
  <c r="BG40" i="1"/>
  <c r="BS40" i="1" s="1"/>
  <c r="BG5" i="1"/>
  <c r="BS5" i="1" s="1"/>
  <c r="BG6" i="1"/>
  <c r="BS6" i="1" s="1"/>
  <c r="BG7" i="1"/>
  <c r="BS7" i="1" s="1"/>
  <c r="BG8" i="1"/>
  <c r="BS8" i="1" s="1"/>
  <c r="BG9" i="1"/>
  <c r="BS9" i="1" s="1"/>
  <c r="BG11" i="1"/>
  <c r="BS11" i="1" s="1"/>
  <c r="BG12" i="1"/>
  <c r="BS12" i="1" s="1"/>
  <c r="BG13" i="1"/>
  <c r="BS13" i="1" s="1"/>
  <c r="BG14" i="1"/>
  <c r="BS14" i="1" s="1"/>
  <c r="BG15" i="1"/>
  <c r="BS15" i="1" s="1"/>
  <c r="BG16" i="1"/>
  <c r="BS16" i="1" s="1"/>
  <c r="BG17" i="1"/>
  <c r="BS17" i="1" s="1"/>
  <c r="BG18" i="1"/>
  <c r="BS18" i="1" s="1"/>
  <c r="BG19" i="1"/>
  <c r="BS19" i="1" s="1"/>
  <c r="BG20" i="1"/>
  <c r="BS20" i="1" s="1"/>
  <c r="BG26" i="1"/>
  <c r="BS26" i="1" s="1"/>
  <c r="BG28" i="1"/>
  <c r="BS28" i="1" s="1"/>
  <c r="BG30" i="1"/>
  <c r="BS30" i="1" s="1"/>
  <c r="BG45" i="1"/>
  <c r="BS45" i="1" s="1"/>
  <c r="BG51" i="1"/>
  <c r="BS51" i="1" s="1"/>
  <c r="BG53" i="1"/>
  <c r="BS53" i="1" s="1"/>
  <c r="BG25" i="1"/>
  <c r="BS25" i="1" s="1"/>
  <c r="BG27" i="1"/>
  <c r="BS27" i="1" s="1"/>
  <c r="BG29" i="1"/>
  <c r="BS29" i="1" s="1"/>
  <c r="BG43" i="1"/>
  <c r="BS43" i="1" s="1"/>
  <c r="BG46" i="1"/>
  <c r="BS46" i="1" s="1"/>
  <c r="BG47" i="1"/>
  <c r="BS47" i="1" s="1"/>
  <c r="BG52" i="1"/>
  <c r="BS52" i="1" s="1"/>
  <c r="BG54" i="1"/>
  <c r="BS54" i="1" s="1"/>
  <c r="BG37" i="1"/>
  <c r="BS37" i="1" s="1"/>
  <c r="BG56" i="1"/>
  <c r="BS56" i="1" s="1"/>
  <c r="AM100" i="1" l="1"/>
  <c r="R104" i="1"/>
  <c r="AM104" i="1" s="1"/>
  <c r="R103" i="1"/>
  <c r="AM103" i="1" s="1"/>
  <c r="R101" i="1"/>
  <c r="AM101" i="1" s="1"/>
  <c r="R102" i="1"/>
  <c r="AM102" i="1" s="1"/>
  <c r="R100" i="1"/>
  <c r="R105" i="1"/>
  <c r="AM105" i="1" s="1"/>
  <c r="R121" i="1"/>
  <c r="AM121" i="1" s="1"/>
  <c r="AM107" i="1"/>
  <c r="R115" i="1"/>
  <c r="AM115" i="1" s="1"/>
  <c r="R113" i="1"/>
  <c r="AM113" i="1" s="1"/>
  <c r="R106" i="1"/>
  <c r="AM106" i="1" s="1"/>
  <c r="R120" i="1"/>
  <c r="AM120" i="1" s="1"/>
  <c r="R108" i="1"/>
  <c r="AM108" i="1" s="1"/>
  <c r="R91" i="1"/>
  <c r="AM91" i="1" s="1"/>
  <c r="R86" i="1"/>
  <c r="AM86" i="1" s="1"/>
  <c r="R118" i="1"/>
  <c r="AM118" i="1" s="1"/>
  <c r="R117" i="1"/>
  <c r="AM117" i="1" s="1"/>
  <c r="R109" i="1"/>
  <c r="AM109" i="1" s="1"/>
  <c r="R112" i="1"/>
  <c r="AM112" i="1" s="1"/>
  <c r="R114" i="1"/>
  <c r="AM114" i="1" s="1"/>
  <c r="R111" i="1"/>
  <c r="AM111" i="1" s="1"/>
  <c r="R122" i="1"/>
  <c r="AM122" i="1" s="1"/>
  <c r="R119" i="1"/>
  <c r="AM119" i="1" s="1"/>
  <c r="R116" i="1"/>
  <c r="AM116" i="1" s="1"/>
  <c r="R123" i="1"/>
  <c r="AM123" i="1" s="1"/>
  <c r="R107" i="1"/>
  <c r="R110" i="1"/>
  <c r="AM110" i="1" s="1"/>
  <c r="R81" i="1"/>
  <c r="AM81" i="1" s="1"/>
  <c r="R41" i="1"/>
  <c r="AM41" i="1" s="1"/>
  <c r="BH36" i="1"/>
  <c r="BT36" i="1" s="1"/>
  <c r="BH41" i="1"/>
  <c r="BT41" i="1" s="1"/>
  <c r="R96" i="1"/>
  <c r="AM96" i="1" s="1"/>
  <c r="R36" i="1"/>
  <c r="AM36" i="1" s="1"/>
  <c r="R23" i="1"/>
  <c r="AM23" i="1" s="1"/>
  <c r="R10" i="1"/>
  <c r="AM10" i="1" s="1"/>
  <c r="R22" i="1"/>
  <c r="AM22" i="1" s="1"/>
  <c r="R24" i="1"/>
  <c r="AM24" i="1" s="1"/>
  <c r="R21" i="1"/>
  <c r="AM21" i="1" s="1"/>
  <c r="BH22" i="1"/>
  <c r="BT22" i="1" s="1"/>
  <c r="BH10" i="1"/>
  <c r="BT10" i="1" s="1"/>
  <c r="BH24" i="1"/>
  <c r="BT24" i="1" s="1"/>
  <c r="BH21" i="1"/>
  <c r="BT21" i="1" s="1"/>
  <c r="BH23" i="1"/>
  <c r="BT23" i="1" s="1"/>
  <c r="R99" i="1"/>
  <c r="AM99" i="1" s="1"/>
  <c r="R98" i="1"/>
  <c r="AM98" i="1" s="1"/>
  <c r="R97" i="1"/>
  <c r="AM97" i="1" s="1"/>
  <c r="R61" i="1"/>
  <c r="AM61" i="1" s="1"/>
  <c r="R60" i="1"/>
  <c r="AM60" i="1" s="1"/>
  <c r="R62" i="1"/>
  <c r="AM62" i="1" s="1"/>
  <c r="R34" i="1"/>
  <c r="AM34" i="1" s="1"/>
  <c r="R82" i="1"/>
  <c r="AM82" i="1" s="1"/>
  <c r="R87" i="1"/>
  <c r="AM87" i="1" s="1"/>
  <c r="AM4" i="1"/>
  <c r="R90" i="1"/>
  <c r="AM90" i="1" s="1"/>
  <c r="R4" i="1"/>
  <c r="BH55" i="1"/>
  <c r="BT55" i="1" s="1"/>
  <c r="BH4" i="1"/>
  <c r="BT4" i="1" s="1"/>
  <c r="R68" i="1"/>
  <c r="AM68" i="1" s="1"/>
  <c r="R67" i="1"/>
  <c r="AM67" i="1" s="1"/>
  <c r="R66" i="1"/>
  <c r="AM66" i="1" s="1"/>
  <c r="R65" i="1"/>
  <c r="AM65" i="1" s="1"/>
  <c r="R63" i="1"/>
  <c r="AM63" i="1" s="1"/>
  <c r="R64" i="1"/>
  <c r="AM64" i="1" s="1"/>
  <c r="R58" i="1"/>
  <c r="AM58" i="1" s="1"/>
  <c r="AM5" i="1"/>
  <c r="AM3" i="1"/>
  <c r="R59" i="1"/>
  <c r="AM59" i="1" s="1"/>
  <c r="R73" i="1"/>
  <c r="AM73" i="1" s="1"/>
  <c r="R76" i="1"/>
  <c r="AM76" i="1" s="1"/>
  <c r="R71" i="1"/>
  <c r="AM71" i="1" s="1"/>
  <c r="R74" i="1"/>
  <c r="AM74" i="1" s="1"/>
  <c r="R78" i="1"/>
  <c r="AM78" i="1" s="1"/>
  <c r="R83" i="1"/>
  <c r="AM83" i="1" s="1"/>
  <c r="R94" i="1"/>
  <c r="AM94" i="1" s="1"/>
  <c r="R89" i="1"/>
  <c r="AM89" i="1" s="1"/>
  <c r="R85" i="1"/>
  <c r="AM85" i="1" s="1"/>
  <c r="R80" i="1"/>
  <c r="AM80" i="1" s="1"/>
  <c r="R92" i="1"/>
  <c r="AM92" i="1" s="1"/>
  <c r="R93" i="1"/>
  <c r="AM93" i="1" s="1"/>
  <c r="R70" i="1"/>
  <c r="AM70" i="1" s="1"/>
  <c r="R72" i="1"/>
  <c r="AM72" i="1" s="1"/>
  <c r="R69" i="1"/>
  <c r="AM69" i="1" s="1"/>
  <c r="R75" i="1"/>
  <c r="AM75" i="1" s="1"/>
  <c r="R77" i="1"/>
  <c r="AM77" i="1" s="1"/>
  <c r="R79" i="1"/>
  <c r="AM79" i="1" s="1"/>
  <c r="R95" i="1"/>
  <c r="AM95" i="1" s="1"/>
  <c r="R88" i="1"/>
  <c r="AM88" i="1" s="1"/>
  <c r="R84" i="1"/>
  <c r="AM84" i="1" s="1"/>
  <c r="R7" i="1"/>
  <c r="AM7" i="1" s="1"/>
  <c r="R12" i="1"/>
  <c r="AM12" i="1" s="1"/>
  <c r="R8" i="1"/>
  <c r="AM8" i="1" s="1"/>
  <c r="R13" i="1"/>
  <c r="AM13" i="1" s="1"/>
  <c r="R17" i="1"/>
  <c r="AM17" i="1" s="1"/>
  <c r="R31" i="1"/>
  <c r="AM31" i="1" s="1"/>
  <c r="R26" i="1"/>
  <c r="AM26" i="1" s="1"/>
  <c r="R30" i="1"/>
  <c r="AM30" i="1" s="1"/>
  <c r="R46" i="1"/>
  <c r="AM46" i="1" s="1"/>
  <c r="R50" i="1"/>
  <c r="AM50" i="1" s="1"/>
  <c r="R54" i="1"/>
  <c r="AM54" i="1" s="1"/>
  <c r="R18" i="1"/>
  <c r="AM18" i="1" s="1"/>
  <c r="R32" i="1"/>
  <c r="AM32" i="1" s="1"/>
  <c r="R27" i="1"/>
  <c r="AM27" i="1" s="1"/>
  <c r="R43" i="1"/>
  <c r="AM43" i="1" s="1"/>
  <c r="R47" i="1"/>
  <c r="AM47" i="1" s="1"/>
  <c r="R51" i="1"/>
  <c r="AM51" i="1" s="1"/>
  <c r="R16" i="1"/>
  <c r="AM16" i="1" s="1"/>
  <c r="R20" i="1"/>
  <c r="AM20" i="1" s="1"/>
  <c r="R5" i="1"/>
  <c r="R9" i="1"/>
  <c r="AM9" i="1" s="1"/>
  <c r="R14" i="1"/>
  <c r="AM14" i="1" s="1"/>
  <c r="R19" i="1"/>
  <c r="AM19" i="1" s="1"/>
  <c r="R33" i="1"/>
  <c r="AM33" i="1" s="1"/>
  <c r="R28" i="1"/>
  <c r="AM28" i="1" s="1"/>
  <c r="R44" i="1"/>
  <c r="AM44" i="1" s="1"/>
  <c r="R48" i="1"/>
  <c r="AM48" i="1" s="1"/>
  <c r="R52" i="1"/>
  <c r="AM52" i="1" s="1"/>
  <c r="R57" i="1"/>
  <c r="AM57" i="1" s="1"/>
  <c r="R39" i="1"/>
  <c r="AM39" i="1" s="1"/>
  <c r="R6" i="1"/>
  <c r="AM6" i="1" s="1"/>
  <c r="R15" i="1"/>
  <c r="AM15" i="1" s="1"/>
  <c r="R53" i="1"/>
  <c r="AM53" i="1" s="1"/>
  <c r="R35" i="1"/>
  <c r="AM35" i="1" s="1"/>
  <c r="R40" i="1"/>
  <c r="AM40" i="1" s="1"/>
  <c r="R11" i="1"/>
  <c r="AM11" i="1" s="1"/>
  <c r="R29" i="1"/>
  <c r="AM29" i="1" s="1"/>
  <c r="R45" i="1"/>
  <c r="AM45" i="1" s="1"/>
  <c r="R49" i="1"/>
  <c r="AM49" i="1" s="1"/>
  <c r="R37" i="1"/>
  <c r="AM37" i="1" s="1"/>
  <c r="R25" i="1"/>
  <c r="AM25" i="1" s="1"/>
  <c r="R56" i="1"/>
  <c r="AM56" i="1" s="1"/>
  <c r="R38" i="1"/>
  <c r="AM38" i="1" s="1"/>
  <c r="R42" i="1"/>
  <c r="AM42" i="1" s="1"/>
  <c r="R55" i="1"/>
  <c r="AM55" i="1" s="1"/>
  <c r="R3" i="1"/>
  <c r="BH50" i="1"/>
  <c r="BT50" i="1" s="1"/>
  <c r="BH49" i="1"/>
  <c r="BT49" i="1" s="1"/>
  <c r="BH48" i="1"/>
  <c r="BT48" i="1" s="1"/>
  <c r="S2" i="1"/>
  <c r="BH42" i="1"/>
  <c r="BT42" i="1" s="1"/>
  <c r="BH35" i="1"/>
  <c r="BT35" i="1" s="1"/>
  <c r="BI2" i="1"/>
  <c r="BH38" i="1"/>
  <c r="BT38" i="1" s="1"/>
  <c r="BH39" i="1"/>
  <c r="BT39" i="1" s="1"/>
  <c r="BH40" i="1"/>
  <c r="BT40" i="1" s="1"/>
  <c r="BH5" i="1"/>
  <c r="BT5" i="1" s="1"/>
  <c r="BH6" i="1"/>
  <c r="BT6" i="1" s="1"/>
  <c r="BH7" i="1"/>
  <c r="BT7" i="1" s="1"/>
  <c r="BH8" i="1"/>
  <c r="BT8" i="1" s="1"/>
  <c r="BH9" i="1"/>
  <c r="BT9" i="1" s="1"/>
  <c r="BH11" i="1"/>
  <c r="BT11" i="1" s="1"/>
  <c r="BH12" i="1"/>
  <c r="BT12" i="1" s="1"/>
  <c r="BH13" i="1"/>
  <c r="BT13" i="1" s="1"/>
  <c r="BH14" i="1"/>
  <c r="BT14" i="1" s="1"/>
  <c r="BH15" i="1"/>
  <c r="BT15" i="1" s="1"/>
  <c r="BH16" i="1"/>
  <c r="BT16" i="1" s="1"/>
  <c r="BH17" i="1"/>
  <c r="BT17" i="1" s="1"/>
  <c r="BH18" i="1"/>
  <c r="BT18" i="1" s="1"/>
  <c r="BH19" i="1"/>
  <c r="BT19" i="1" s="1"/>
  <c r="BH25" i="1"/>
  <c r="BT25" i="1" s="1"/>
  <c r="BH27" i="1"/>
  <c r="BT27" i="1" s="1"/>
  <c r="BH29" i="1"/>
  <c r="BT29" i="1" s="1"/>
  <c r="BH43" i="1"/>
  <c r="BT43" i="1" s="1"/>
  <c r="BH46" i="1"/>
  <c r="BT46" i="1" s="1"/>
  <c r="BH47" i="1"/>
  <c r="BT47" i="1" s="1"/>
  <c r="BH52" i="1"/>
  <c r="BT52" i="1" s="1"/>
  <c r="BH54" i="1"/>
  <c r="BT54" i="1" s="1"/>
  <c r="BH37" i="1"/>
  <c r="BT37" i="1" s="1"/>
  <c r="BH20" i="1"/>
  <c r="BT20" i="1" s="1"/>
  <c r="BH26" i="1"/>
  <c r="BT26" i="1" s="1"/>
  <c r="BH28" i="1"/>
  <c r="BT28" i="1" s="1"/>
  <c r="BH30" i="1"/>
  <c r="BT30" i="1" s="1"/>
  <c r="BH45" i="1"/>
  <c r="BT45" i="1" s="1"/>
  <c r="BH51" i="1"/>
  <c r="BT51" i="1" s="1"/>
  <c r="BH53" i="1"/>
  <c r="BT53" i="1" s="1"/>
  <c r="BH56" i="1"/>
  <c r="BT56" i="1" s="1"/>
  <c r="BH3" i="1"/>
  <c r="BT3" i="1" s="1"/>
  <c r="S100" i="1" l="1"/>
  <c r="S104" i="1"/>
  <c r="AN104" i="1" s="1"/>
  <c r="S103" i="1"/>
  <c r="AN103" i="1" s="1"/>
  <c r="S105" i="1"/>
  <c r="AN105" i="1" s="1"/>
  <c r="S102" i="1"/>
  <c r="AN102" i="1" s="1"/>
  <c r="AN101" i="1"/>
  <c r="S101" i="1"/>
  <c r="AN100" i="1"/>
  <c r="S41" i="1"/>
  <c r="AN41" i="1" s="1"/>
  <c r="AN109" i="1"/>
  <c r="S111" i="1"/>
  <c r="AN111" i="1" s="1"/>
  <c r="AN110" i="1"/>
  <c r="AN108" i="1"/>
  <c r="AN107" i="1"/>
  <c r="S120" i="1"/>
  <c r="AN120" i="1" s="1"/>
  <c r="S119" i="1"/>
  <c r="AN119" i="1" s="1"/>
  <c r="S116" i="1"/>
  <c r="AN116" i="1" s="1"/>
  <c r="S112" i="1"/>
  <c r="AN112" i="1" s="1"/>
  <c r="S117" i="1"/>
  <c r="AN117" i="1" s="1"/>
  <c r="S107" i="1"/>
  <c r="S86" i="1"/>
  <c r="AN86" i="1" s="1"/>
  <c r="S121" i="1"/>
  <c r="AN121" i="1" s="1"/>
  <c r="S123" i="1"/>
  <c r="AN123" i="1" s="1"/>
  <c r="S110" i="1"/>
  <c r="S115" i="1"/>
  <c r="AN115" i="1" s="1"/>
  <c r="S109" i="1"/>
  <c r="S106" i="1"/>
  <c r="AN106" i="1" s="1"/>
  <c r="S113" i="1"/>
  <c r="AN113" i="1" s="1"/>
  <c r="S81" i="1"/>
  <c r="AN81" i="1" s="1"/>
  <c r="S108" i="1"/>
  <c r="S118" i="1"/>
  <c r="AN118" i="1" s="1"/>
  <c r="S114" i="1"/>
  <c r="AN114" i="1" s="1"/>
  <c r="S91" i="1"/>
  <c r="AN91" i="1" s="1"/>
  <c r="S122" i="1"/>
  <c r="AN122" i="1" s="1"/>
  <c r="BI36" i="1"/>
  <c r="BU36" i="1" s="1"/>
  <c r="BI41" i="1"/>
  <c r="BU41" i="1" s="1"/>
  <c r="S96" i="1"/>
  <c r="AN96" i="1" s="1"/>
  <c r="S36" i="1"/>
  <c r="AN36" i="1" s="1"/>
  <c r="S22" i="1"/>
  <c r="AN22" i="1" s="1"/>
  <c r="S24" i="1"/>
  <c r="AN24" i="1" s="1"/>
  <c r="S21" i="1"/>
  <c r="AN21" i="1" s="1"/>
  <c r="S23" i="1"/>
  <c r="AN23" i="1" s="1"/>
  <c r="S10" i="1"/>
  <c r="AN10" i="1" s="1"/>
  <c r="BI22" i="1"/>
  <c r="BU22" i="1" s="1"/>
  <c r="BI10" i="1"/>
  <c r="BU10" i="1" s="1"/>
  <c r="BI24" i="1"/>
  <c r="BU24" i="1" s="1"/>
  <c r="BI23" i="1"/>
  <c r="BU23" i="1" s="1"/>
  <c r="BI21" i="1"/>
  <c r="BU21" i="1" s="1"/>
  <c r="S34" i="1"/>
  <c r="AN34" i="1" s="1"/>
  <c r="S97" i="1"/>
  <c r="AN97" i="1" s="1"/>
  <c r="S62" i="1"/>
  <c r="AN62" i="1" s="1"/>
  <c r="S61" i="1"/>
  <c r="AN61" i="1" s="1"/>
  <c r="S60" i="1"/>
  <c r="AN60" i="1" s="1"/>
  <c r="S98" i="1"/>
  <c r="AN98" i="1" s="1"/>
  <c r="S99" i="1"/>
  <c r="AN99" i="1" s="1"/>
  <c r="BI55" i="1"/>
  <c r="BU55" i="1" s="1"/>
  <c r="BI4" i="1"/>
  <c r="BU4" i="1" s="1"/>
  <c r="AN4" i="1"/>
  <c r="S90" i="1"/>
  <c r="AN90" i="1" s="1"/>
  <c r="S87" i="1"/>
  <c r="AN87" i="1" s="1"/>
  <c r="S4" i="1"/>
  <c r="S82" i="1"/>
  <c r="AN82" i="1" s="1"/>
  <c r="S65" i="1"/>
  <c r="AN65" i="1" s="1"/>
  <c r="S64" i="1"/>
  <c r="AN64" i="1" s="1"/>
  <c r="S63" i="1"/>
  <c r="AN63" i="1" s="1"/>
  <c r="S68" i="1"/>
  <c r="AN68" i="1" s="1"/>
  <c r="S67" i="1"/>
  <c r="AN67" i="1" s="1"/>
  <c r="S66" i="1"/>
  <c r="AN66" i="1" s="1"/>
  <c r="S58" i="1"/>
  <c r="AN58" i="1" s="1"/>
  <c r="AN5" i="1"/>
  <c r="AN6" i="1"/>
  <c r="AN15" i="1"/>
  <c r="AN25" i="1"/>
  <c r="AN26" i="1"/>
  <c r="AN3" i="1"/>
  <c r="AN37" i="1"/>
  <c r="S72" i="1"/>
  <c r="AN72" i="1" s="1"/>
  <c r="S75" i="1"/>
  <c r="AN75" i="1" s="1"/>
  <c r="S79" i="1"/>
  <c r="AN79" i="1" s="1"/>
  <c r="S70" i="1"/>
  <c r="AN70" i="1" s="1"/>
  <c r="S69" i="1"/>
  <c r="AN69" i="1" s="1"/>
  <c r="S77" i="1"/>
  <c r="AN77" i="1" s="1"/>
  <c r="S92" i="1"/>
  <c r="AN92" i="1" s="1"/>
  <c r="S93" i="1"/>
  <c r="AN93" i="1" s="1"/>
  <c r="S80" i="1"/>
  <c r="AN80" i="1" s="1"/>
  <c r="S88" i="1"/>
  <c r="AN88" i="1" s="1"/>
  <c r="S84" i="1"/>
  <c r="AN84" i="1" s="1"/>
  <c r="S95" i="1"/>
  <c r="AN95" i="1" s="1"/>
  <c r="S59" i="1"/>
  <c r="AN59" i="1" s="1"/>
  <c r="S71" i="1"/>
  <c r="AN71" i="1" s="1"/>
  <c r="S73" i="1"/>
  <c r="AN73" i="1" s="1"/>
  <c r="S74" i="1"/>
  <c r="AN74" i="1" s="1"/>
  <c r="S76" i="1"/>
  <c r="AN76" i="1" s="1"/>
  <c r="S78" i="1"/>
  <c r="AN78" i="1" s="1"/>
  <c r="S83" i="1"/>
  <c r="AN83" i="1" s="1"/>
  <c r="S94" i="1"/>
  <c r="AN94" i="1" s="1"/>
  <c r="S89" i="1"/>
  <c r="AN89" i="1" s="1"/>
  <c r="S85" i="1"/>
  <c r="AN85" i="1" s="1"/>
  <c r="T2" i="1"/>
  <c r="S6" i="1"/>
  <c r="S11" i="1"/>
  <c r="AN11" i="1" s="1"/>
  <c r="S15" i="1"/>
  <c r="S7" i="1"/>
  <c r="AN7" i="1" s="1"/>
  <c r="S12" i="1"/>
  <c r="AN12" i="1" s="1"/>
  <c r="S5" i="1"/>
  <c r="S9" i="1"/>
  <c r="AN9" i="1" s="1"/>
  <c r="S14" i="1"/>
  <c r="AN14" i="1" s="1"/>
  <c r="S16" i="1"/>
  <c r="AN16" i="1" s="1"/>
  <c r="S20" i="1"/>
  <c r="AN20" i="1" s="1"/>
  <c r="S25" i="1"/>
  <c r="S29" i="1"/>
  <c r="AN29" i="1" s="1"/>
  <c r="S45" i="1"/>
  <c r="AN45" i="1" s="1"/>
  <c r="S49" i="1"/>
  <c r="AN49" i="1" s="1"/>
  <c r="S53" i="1"/>
  <c r="AN53" i="1" s="1"/>
  <c r="S8" i="1"/>
  <c r="AN8" i="1" s="1"/>
  <c r="S13" i="1"/>
  <c r="AN13" i="1" s="1"/>
  <c r="S17" i="1"/>
  <c r="AN17" i="1" s="1"/>
  <c r="S31" i="1"/>
  <c r="AN31" i="1" s="1"/>
  <c r="S26" i="1"/>
  <c r="S30" i="1"/>
  <c r="AN30" i="1" s="1"/>
  <c r="S46" i="1"/>
  <c r="AN46" i="1" s="1"/>
  <c r="S50" i="1"/>
  <c r="AN50" i="1" s="1"/>
  <c r="S56" i="1"/>
  <c r="AN56" i="1" s="1"/>
  <c r="S38" i="1"/>
  <c r="AN38" i="1" s="1"/>
  <c r="S42" i="1"/>
  <c r="AN42" i="1" s="1"/>
  <c r="S3" i="1"/>
  <c r="S18" i="1"/>
  <c r="AN18" i="1" s="1"/>
  <c r="S32" i="1"/>
  <c r="AN32" i="1" s="1"/>
  <c r="S19" i="1"/>
  <c r="AN19" i="1" s="1"/>
  <c r="S33" i="1"/>
  <c r="AN33" i="1" s="1"/>
  <c r="S28" i="1"/>
  <c r="AN28" i="1" s="1"/>
  <c r="S44" i="1"/>
  <c r="AN44" i="1" s="1"/>
  <c r="S48" i="1"/>
  <c r="AN48" i="1" s="1"/>
  <c r="S52" i="1"/>
  <c r="AN52" i="1" s="1"/>
  <c r="S57" i="1"/>
  <c r="AN57" i="1" s="1"/>
  <c r="S39" i="1"/>
  <c r="AN39" i="1" s="1"/>
  <c r="S27" i="1"/>
  <c r="AN27" i="1" s="1"/>
  <c r="S43" i="1"/>
  <c r="AN43" i="1" s="1"/>
  <c r="S47" i="1"/>
  <c r="AN47" i="1" s="1"/>
  <c r="S51" i="1"/>
  <c r="AN51" i="1" s="1"/>
  <c r="S54" i="1"/>
  <c r="AN54" i="1" s="1"/>
  <c r="S35" i="1"/>
  <c r="AN35" i="1" s="1"/>
  <c r="S40" i="1"/>
  <c r="AN40" i="1" s="1"/>
  <c r="S37" i="1"/>
  <c r="S55" i="1"/>
  <c r="AN55" i="1" s="1"/>
  <c r="BI49" i="1"/>
  <c r="BU49" i="1" s="1"/>
  <c r="BI50" i="1"/>
  <c r="BU50" i="1" s="1"/>
  <c r="BI48" i="1"/>
  <c r="BU48" i="1" s="1"/>
  <c r="BI42" i="1"/>
  <c r="BU42" i="1" s="1"/>
  <c r="BI35" i="1"/>
  <c r="BU35" i="1" s="1"/>
  <c r="BJ2" i="1"/>
  <c r="BI38" i="1"/>
  <c r="BU38" i="1" s="1"/>
  <c r="BI39" i="1"/>
  <c r="BU39" i="1" s="1"/>
  <c r="BI40" i="1"/>
  <c r="BU40" i="1" s="1"/>
  <c r="BI5" i="1"/>
  <c r="BU5" i="1" s="1"/>
  <c r="BI6" i="1"/>
  <c r="BU6" i="1" s="1"/>
  <c r="BI7" i="1"/>
  <c r="BU7" i="1" s="1"/>
  <c r="BI8" i="1"/>
  <c r="BU8" i="1" s="1"/>
  <c r="BI9" i="1"/>
  <c r="BU9" i="1" s="1"/>
  <c r="BI11" i="1"/>
  <c r="BU11" i="1" s="1"/>
  <c r="BI12" i="1"/>
  <c r="BU12" i="1" s="1"/>
  <c r="BI13" i="1"/>
  <c r="BU13" i="1" s="1"/>
  <c r="BI14" i="1"/>
  <c r="BU14" i="1" s="1"/>
  <c r="BI15" i="1"/>
  <c r="BU15" i="1" s="1"/>
  <c r="BI16" i="1"/>
  <c r="BU16" i="1" s="1"/>
  <c r="BI17" i="1"/>
  <c r="BU17" i="1" s="1"/>
  <c r="BI18" i="1"/>
  <c r="BU18" i="1" s="1"/>
  <c r="BI19" i="1"/>
  <c r="BU19" i="1" s="1"/>
  <c r="BI20" i="1"/>
  <c r="BU20" i="1" s="1"/>
  <c r="BI25" i="1"/>
  <c r="BU25" i="1" s="1"/>
  <c r="BI26" i="1"/>
  <c r="BU26" i="1" s="1"/>
  <c r="BI27" i="1"/>
  <c r="BU27" i="1" s="1"/>
  <c r="BI28" i="1"/>
  <c r="BU28" i="1" s="1"/>
  <c r="BI29" i="1"/>
  <c r="BU29" i="1" s="1"/>
  <c r="BI30" i="1"/>
  <c r="BU30" i="1" s="1"/>
  <c r="BI43" i="1"/>
  <c r="BU43" i="1" s="1"/>
  <c r="BI45" i="1"/>
  <c r="BU45" i="1" s="1"/>
  <c r="BI46" i="1"/>
  <c r="BU46" i="1" s="1"/>
  <c r="BI47" i="1"/>
  <c r="BU47" i="1" s="1"/>
  <c r="BI51" i="1"/>
  <c r="BU51" i="1" s="1"/>
  <c r="BI52" i="1"/>
  <c r="BU52" i="1" s="1"/>
  <c r="BI53" i="1"/>
  <c r="BU53" i="1" s="1"/>
  <c r="BI54" i="1"/>
  <c r="BU54" i="1" s="1"/>
  <c r="BI56" i="1"/>
  <c r="BU56" i="1" s="1"/>
  <c r="BI37" i="1"/>
  <c r="BU37" i="1" s="1"/>
  <c r="BI3" i="1"/>
  <c r="BU3" i="1" s="1"/>
  <c r="T104" i="1" l="1"/>
  <c r="AO104" i="1" s="1"/>
  <c r="T103" i="1"/>
  <c r="T102" i="1"/>
  <c r="T105" i="1"/>
  <c r="AO105" i="1" s="1"/>
  <c r="AO103" i="1"/>
  <c r="AO102" i="1"/>
  <c r="AO101" i="1"/>
  <c r="T101" i="1"/>
  <c r="AO100" i="1"/>
  <c r="T100" i="1"/>
  <c r="T110" i="1"/>
  <c r="AO112" i="1"/>
  <c r="AO110" i="1"/>
  <c r="AO108" i="1"/>
  <c r="AO107" i="1"/>
  <c r="T117" i="1"/>
  <c r="AO117" i="1" s="1"/>
  <c r="T123" i="1"/>
  <c r="AO123" i="1" s="1"/>
  <c r="AO109" i="1"/>
  <c r="AO113" i="1"/>
  <c r="T113" i="1"/>
  <c r="T120" i="1"/>
  <c r="AO120" i="1" s="1"/>
  <c r="T116" i="1"/>
  <c r="AO116" i="1" s="1"/>
  <c r="T122" i="1"/>
  <c r="AO122" i="1" s="1"/>
  <c r="T107" i="1"/>
  <c r="T114" i="1"/>
  <c r="AO114" i="1" s="1"/>
  <c r="T119" i="1"/>
  <c r="AO119" i="1" s="1"/>
  <c r="T118" i="1"/>
  <c r="AO118" i="1" s="1"/>
  <c r="T121" i="1"/>
  <c r="AO121" i="1" s="1"/>
  <c r="T112" i="1"/>
  <c r="T91" i="1"/>
  <c r="AO91" i="1" s="1"/>
  <c r="T106" i="1"/>
  <c r="AO106" i="1" s="1"/>
  <c r="T111" i="1"/>
  <c r="AO111" i="1" s="1"/>
  <c r="T109" i="1"/>
  <c r="T115" i="1"/>
  <c r="AO115" i="1" s="1"/>
  <c r="T81" i="1"/>
  <c r="AO81" i="1" s="1"/>
  <c r="T108" i="1"/>
  <c r="T86" i="1"/>
  <c r="AO86" i="1" s="1"/>
  <c r="BJ36" i="1"/>
  <c r="BV36" i="1" s="1"/>
  <c r="BJ41" i="1"/>
  <c r="BV41" i="1" s="1"/>
  <c r="T41" i="1"/>
  <c r="AO41" i="1" s="1"/>
  <c r="T36" i="1"/>
  <c r="AO36" i="1" s="1"/>
  <c r="T96" i="1"/>
  <c r="AO96" i="1" s="1"/>
  <c r="BJ10" i="1"/>
  <c r="BV10" i="1" s="1"/>
  <c r="BJ24" i="1"/>
  <c r="BV24" i="1" s="1"/>
  <c r="BJ23" i="1"/>
  <c r="BV23" i="1" s="1"/>
  <c r="BJ21" i="1"/>
  <c r="BV21" i="1" s="1"/>
  <c r="BJ22" i="1"/>
  <c r="BV22" i="1" s="1"/>
  <c r="T24" i="1"/>
  <c r="AO24" i="1" s="1"/>
  <c r="T21" i="1"/>
  <c r="AO21" i="1" s="1"/>
  <c r="T23" i="1"/>
  <c r="AO23" i="1" s="1"/>
  <c r="T10" i="1"/>
  <c r="AO10" i="1" s="1"/>
  <c r="T22" i="1"/>
  <c r="AO22" i="1" s="1"/>
  <c r="T34" i="1"/>
  <c r="AO34" i="1" s="1"/>
  <c r="T98" i="1"/>
  <c r="AO98" i="1" s="1"/>
  <c r="T99" i="1"/>
  <c r="AO99" i="1" s="1"/>
  <c r="T62" i="1"/>
  <c r="AO62" i="1" s="1"/>
  <c r="T61" i="1"/>
  <c r="AO61" i="1" s="1"/>
  <c r="T60" i="1"/>
  <c r="AO60" i="1" s="1"/>
  <c r="T97" i="1"/>
  <c r="AO97" i="1" s="1"/>
  <c r="BJ55" i="1"/>
  <c r="BV55" i="1" s="1"/>
  <c r="BJ4" i="1"/>
  <c r="BV4" i="1" s="1"/>
  <c r="T82" i="1"/>
  <c r="AO82" i="1" s="1"/>
  <c r="T4" i="1"/>
  <c r="T87" i="1"/>
  <c r="AO87" i="1" s="1"/>
  <c r="AO4" i="1"/>
  <c r="T90" i="1"/>
  <c r="AO90" i="1" s="1"/>
  <c r="T68" i="1"/>
  <c r="AO68" i="1" s="1"/>
  <c r="T67" i="1"/>
  <c r="AO67" i="1" s="1"/>
  <c r="T66" i="1"/>
  <c r="AO66" i="1" s="1"/>
  <c r="T65" i="1"/>
  <c r="AO65" i="1" s="1"/>
  <c r="T64" i="1"/>
  <c r="AO64" i="1" s="1"/>
  <c r="T63" i="1"/>
  <c r="AO63" i="1" s="1"/>
  <c r="T58" i="1"/>
  <c r="AO58" i="1" s="1"/>
  <c r="AO7" i="1"/>
  <c r="AO16" i="1"/>
  <c r="AO27" i="1"/>
  <c r="AO15" i="1"/>
  <c r="AO6" i="1"/>
  <c r="AO25" i="1"/>
  <c r="AO26" i="1"/>
  <c r="AO5" i="1"/>
  <c r="AO93" i="1"/>
  <c r="AO37" i="1"/>
  <c r="AO38" i="1"/>
  <c r="AO3" i="1"/>
  <c r="U2" i="1"/>
  <c r="T71" i="1"/>
  <c r="AO71" i="1" s="1"/>
  <c r="T74" i="1"/>
  <c r="AO74" i="1" s="1"/>
  <c r="T78" i="1"/>
  <c r="AO78" i="1" s="1"/>
  <c r="T59" i="1"/>
  <c r="AO59" i="1" s="1"/>
  <c r="T73" i="1"/>
  <c r="AO73" i="1" s="1"/>
  <c r="T76" i="1"/>
  <c r="AO76" i="1" s="1"/>
  <c r="T80" i="1"/>
  <c r="AO80" i="1" s="1"/>
  <c r="T70" i="1"/>
  <c r="AO70" i="1" s="1"/>
  <c r="T69" i="1"/>
  <c r="AO69" i="1" s="1"/>
  <c r="T77" i="1"/>
  <c r="AO77" i="1" s="1"/>
  <c r="T89" i="1"/>
  <c r="AO89" i="1" s="1"/>
  <c r="T85" i="1"/>
  <c r="AO85" i="1" s="1"/>
  <c r="T72" i="1"/>
  <c r="AO72" i="1" s="1"/>
  <c r="T75" i="1"/>
  <c r="AO75" i="1" s="1"/>
  <c r="T79" i="1"/>
  <c r="AO79" i="1" s="1"/>
  <c r="T83" i="1"/>
  <c r="AO83" i="1" s="1"/>
  <c r="T94" i="1"/>
  <c r="AO94" i="1" s="1"/>
  <c r="T88" i="1"/>
  <c r="AO88" i="1" s="1"/>
  <c r="T84" i="1"/>
  <c r="AO84" i="1" s="1"/>
  <c r="T92" i="1"/>
  <c r="AO92" i="1" s="1"/>
  <c r="T93" i="1"/>
  <c r="T95" i="1"/>
  <c r="AO95" i="1" s="1"/>
  <c r="T5" i="1"/>
  <c r="T9" i="1"/>
  <c r="AO9" i="1" s="1"/>
  <c r="T14" i="1"/>
  <c r="AO14" i="1" s="1"/>
  <c r="T6" i="1"/>
  <c r="T11" i="1"/>
  <c r="AO11" i="1" s="1"/>
  <c r="T15" i="1"/>
  <c r="T19" i="1"/>
  <c r="AO19" i="1" s="1"/>
  <c r="T33" i="1"/>
  <c r="AO33" i="1" s="1"/>
  <c r="T28" i="1"/>
  <c r="AO28" i="1" s="1"/>
  <c r="T44" i="1"/>
  <c r="AO44" i="1" s="1"/>
  <c r="T48" i="1"/>
  <c r="AO48" i="1" s="1"/>
  <c r="T52" i="1"/>
  <c r="AO52" i="1" s="1"/>
  <c r="T16" i="1"/>
  <c r="T20" i="1"/>
  <c r="AO20" i="1" s="1"/>
  <c r="T25" i="1"/>
  <c r="T29" i="1"/>
  <c r="AO29" i="1" s="1"/>
  <c r="T45" i="1"/>
  <c r="AO45" i="1" s="1"/>
  <c r="T49" i="1"/>
  <c r="AO49" i="1" s="1"/>
  <c r="T17" i="1"/>
  <c r="AO17" i="1" s="1"/>
  <c r="T18" i="1"/>
  <c r="AO18" i="1" s="1"/>
  <c r="T31" i="1"/>
  <c r="AO31" i="1" s="1"/>
  <c r="T32" i="1"/>
  <c r="AO32" i="1" s="1"/>
  <c r="T7" i="1"/>
  <c r="T12" i="1"/>
  <c r="AO12" i="1" s="1"/>
  <c r="T55" i="1"/>
  <c r="AO55" i="1" s="1"/>
  <c r="T37" i="1"/>
  <c r="T8" i="1"/>
  <c r="AO8" i="1" s="1"/>
  <c r="T13" i="1"/>
  <c r="AO13" i="1" s="1"/>
  <c r="T56" i="1"/>
  <c r="AO56" i="1" s="1"/>
  <c r="T38" i="1"/>
  <c r="T42" i="1"/>
  <c r="AO42" i="1" s="1"/>
  <c r="T3" i="1"/>
  <c r="T53" i="1"/>
  <c r="AO53" i="1" s="1"/>
  <c r="T30" i="1"/>
  <c r="AO30" i="1" s="1"/>
  <c r="T43" i="1"/>
  <c r="AO43" i="1" s="1"/>
  <c r="T47" i="1"/>
  <c r="AO47" i="1" s="1"/>
  <c r="T51" i="1"/>
  <c r="AO51" i="1" s="1"/>
  <c r="T54" i="1"/>
  <c r="AO54" i="1" s="1"/>
  <c r="T57" i="1"/>
  <c r="AO57" i="1" s="1"/>
  <c r="T35" i="1"/>
  <c r="AO35" i="1" s="1"/>
  <c r="T39" i="1"/>
  <c r="AO39" i="1" s="1"/>
  <c r="T40" i="1"/>
  <c r="AO40" i="1" s="1"/>
  <c r="T27" i="1"/>
  <c r="T26" i="1"/>
  <c r="T46" i="1"/>
  <c r="AO46" i="1" s="1"/>
  <c r="T50" i="1"/>
  <c r="AO50" i="1" s="1"/>
  <c r="BJ50" i="1"/>
  <c r="BV50" i="1" s="1"/>
  <c r="BJ48" i="1"/>
  <c r="BV48" i="1" s="1"/>
  <c r="BJ49" i="1"/>
  <c r="BV49" i="1" s="1"/>
  <c r="BJ42" i="1"/>
  <c r="BV42" i="1" s="1"/>
  <c r="BJ35" i="1"/>
  <c r="BV35" i="1" s="1"/>
  <c r="BK2" i="1"/>
  <c r="BJ25" i="1"/>
  <c r="BV25" i="1" s="1"/>
  <c r="BJ27" i="1"/>
  <c r="BV27" i="1" s="1"/>
  <c r="BJ29" i="1"/>
  <c r="BV29" i="1" s="1"/>
  <c r="BJ43" i="1"/>
  <c r="BV43" i="1" s="1"/>
  <c r="BJ46" i="1"/>
  <c r="BV46" i="1" s="1"/>
  <c r="BJ47" i="1"/>
  <c r="BV47" i="1" s="1"/>
  <c r="BJ52" i="1"/>
  <c r="BV52" i="1" s="1"/>
  <c r="BJ20" i="1"/>
  <c r="BV20" i="1" s="1"/>
  <c r="BJ26" i="1"/>
  <c r="BV26" i="1" s="1"/>
  <c r="BJ28" i="1"/>
  <c r="BV28" i="1" s="1"/>
  <c r="BJ30" i="1"/>
  <c r="BV30" i="1" s="1"/>
  <c r="BJ45" i="1"/>
  <c r="BV45" i="1" s="1"/>
  <c r="BJ51" i="1"/>
  <c r="BV51" i="1" s="1"/>
  <c r="BJ53" i="1"/>
  <c r="BV53" i="1" s="1"/>
  <c r="BJ56" i="1"/>
  <c r="BV56" i="1" s="1"/>
  <c r="BJ3" i="1"/>
  <c r="BV3" i="1" s="1"/>
  <c r="BJ38" i="1"/>
  <c r="BV38" i="1" s="1"/>
  <c r="BJ39" i="1"/>
  <c r="BV39" i="1" s="1"/>
  <c r="BJ40" i="1"/>
  <c r="BV40" i="1" s="1"/>
  <c r="BJ5" i="1"/>
  <c r="BV5" i="1" s="1"/>
  <c r="BJ6" i="1"/>
  <c r="BV6" i="1" s="1"/>
  <c r="BJ7" i="1"/>
  <c r="BV7" i="1" s="1"/>
  <c r="BJ8" i="1"/>
  <c r="BV8" i="1" s="1"/>
  <c r="BJ9" i="1"/>
  <c r="BV9" i="1" s="1"/>
  <c r="BJ11" i="1"/>
  <c r="BV11" i="1" s="1"/>
  <c r="BJ12" i="1"/>
  <c r="BV12" i="1" s="1"/>
  <c r="BJ13" i="1"/>
  <c r="BV13" i="1" s="1"/>
  <c r="BJ14" i="1"/>
  <c r="BV14" i="1" s="1"/>
  <c r="BJ15" i="1"/>
  <c r="BV15" i="1" s="1"/>
  <c r="BJ16" i="1"/>
  <c r="BV16" i="1" s="1"/>
  <c r="BJ17" i="1"/>
  <c r="BV17" i="1" s="1"/>
  <c r="BJ18" i="1"/>
  <c r="BV18" i="1" s="1"/>
  <c r="BJ19" i="1"/>
  <c r="BV19" i="1" s="1"/>
  <c r="BJ54" i="1"/>
  <c r="BV54" i="1" s="1"/>
  <c r="BJ37" i="1"/>
  <c r="BV37" i="1" s="1"/>
  <c r="U105" i="1" l="1"/>
  <c r="AP105" i="1" s="1"/>
  <c r="AP103" i="1"/>
  <c r="AP102" i="1"/>
  <c r="AP101" i="1"/>
  <c r="U101" i="1"/>
  <c r="AP104" i="1"/>
  <c r="AP100" i="1"/>
  <c r="U103" i="1"/>
  <c r="U102" i="1"/>
  <c r="U100" i="1"/>
  <c r="U104" i="1"/>
  <c r="U41" i="1"/>
  <c r="AP41" i="1" s="1"/>
  <c r="AP115" i="1"/>
  <c r="AP112" i="1"/>
  <c r="AP111" i="1"/>
  <c r="AP110" i="1"/>
  <c r="AP108" i="1"/>
  <c r="AP107" i="1"/>
  <c r="U107" i="1"/>
  <c r="AP116" i="1"/>
  <c r="AP109" i="1"/>
  <c r="AP113" i="1"/>
  <c r="U116" i="1"/>
  <c r="AP114" i="1"/>
  <c r="U118" i="1"/>
  <c r="AP118" i="1" s="1"/>
  <c r="U112" i="1"/>
  <c r="U109" i="1"/>
  <c r="U123" i="1"/>
  <c r="AP123" i="1" s="1"/>
  <c r="U113" i="1"/>
  <c r="U115" i="1"/>
  <c r="U81" i="1"/>
  <c r="AP81" i="1" s="1"/>
  <c r="U91" i="1"/>
  <c r="AP91" i="1" s="1"/>
  <c r="U121" i="1"/>
  <c r="AP121" i="1" s="1"/>
  <c r="U110" i="1"/>
  <c r="U120" i="1"/>
  <c r="AP120" i="1" s="1"/>
  <c r="U117" i="1"/>
  <c r="AP117" i="1" s="1"/>
  <c r="U111" i="1"/>
  <c r="U119" i="1"/>
  <c r="AP119" i="1" s="1"/>
  <c r="U114" i="1"/>
  <c r="U122" i="1"/>
  <c r="AP122" i="1" s="1"/>
  <c r="U106" i="1"/>
  <c r="AP106" i="1" s="1"/>
  <c r="U108" i="1"/>
  <c r="U86" i="1"/>
  <c r="AP86" i="1" s="1"/>
  <c r="BK36" i="1"/>
  <c r="BW36" i="1" s="1"/>
  <c r="BK41" i="1"/>
  <c r="BW41" i="1" s="1"/>
  <c r="U16" i="1"/>
  <c r="U36" i="1"/>
  <c r="AP36" i="1" s="1"/>
  <c r="U96" i="1"/>
  <c r="AP96" i="1" s="1"/>
  <c r="BK23" i="1"/>
  <c r="BW23" i="1" s="1"/>
  <c r="BK21" i="1"/>
  <c r="BW21" i="1" s="1"/>
  <c r="BK22" i="1"/>
  <c r="BW22" i="1" s="1"/>
  <c r="BK10" i="1"/>
  <c r="BW10" i="1" s="1"/>
  <c r="BK24" i="1"/>
  <c r="BW24" i="1" s="1"/>
  <c r="U23" i="1"/>
  <c r="AP23" i="1" s="1"/>
  <c r="U10" i="1"/>
  <c r="AP10" i="1" s="1"/>
  <c r="AP21" i="1"/>
  <c r="U22" i="1"/>
  <c r="AP22" i="1" s="1"/>
  <c r="U21" i="1"/>
  <c r="U24" i="1"/>
  <c r="AP24" i="1" s="1"/>
  <c r="U97" i="1"/>
  <c r="AP97" i="1" s="1"/>
  <c r="U62" i="1"/>
  <c r="AP62" i="1" s="1"/>
  <c r="U61" i="1"/>
  <c r="AP61" i="1" s="1"/>
  <c r="U60" i="1"/>
  <c r="AP60" i="1" s="1"/>
  <c r="U99" i="1"/>
  <c r="AP99" i="1" s="1"/>
  <c r="U98" i="1"/>
  <c r="AP98" i="1" s="1"/>
  <c r="U95" i="1"/>
  <c r="AP95" i="1" s="1"/>
  <c r="U34" i="1"/>
  <c r="AP34" i="1" s="1"/>
  <c r="BK55" i="1"/>
  <c r="BW55" i="1" s="1"/>
  <c r="BK4" i="1"/>
  <c r="BW4" i="1" s="1"/>
  <c r="U82" i="1"/>
  <c r="AP82" i="1" s="1"/>
  <c r="U87" i="1"/>
  <c r="AP87" i="1" s="1"/>
  <c r="AP4" i="1"/>
  <c r="U90" i="1"/>
  <c r="AP90" i="1" s="1"/>
  <c r="U4" i="1"/>
  <c r="U84" i="1"/>
  <c r="AP84" i="1" s="1"/>
  <c r="U45" i="1"/>
  <c r="AP45" i="1" s="1"/>
  <c r="U69" i="1"/>
  <c r="AP69" i="1" s="1"/>
  <c r="U68" i="1"/>
  <c r="AP68" i="1" s="1"/>
  <c r="U67" i="1"/>
  <c r="AP67" i="1" s="1"/>
  <c r="U66" i="1"/>
  <c r="AP66" i="1" s="1"/>
  <c r="U65" i="1"/>
  <c r="AP65" i="1" s="1"/>
  <c r="U64" i="1"/>
  <c r="AP64" i="1" s="1"/>
  <c r="U63" i="1"/>
  <c r="AP63" i="1" s="1"/>
  <c r="U56" i="1"/>
  <c r="AP56" i="1" s="1"/>
  <c r="U33" i="1"/>
  <c r="AP33" i="1" s="1"/>
  <c r="U77" i="1"/>
  <c r="AP77" i="1" s="1"/>
  <c r="U12" i="1"/>
  <c r="U14" i="1"/>
  <c r="AP14" i="1" s="1"/>
  <c r="U53" i="1"/>
  <c r="AP53" i="1" s="1"/>
  <c r="U7" i="1"/>
  <c r="U30" i="1"/>
  <c r="AP30" i="1" s="1"/>
  <c r="U15" i="1"/>
  <c r="U19" i="1"/>
  <c r="AP19" i="1" s="1"/>
  <c r="U9" i="1"/>
  <c r="AP9" i="1" s="1"/>
  <c r="U85" i="1"/>
  <c r="AP85" i="1" s="1"/>
  <c r="U88" i="1"/>
  <c r="AP88" i="1" s="1"/>
  <c r="U72" i="1"/>
  <c r="AP72" i="1" s="1"/>
  <c r="U58" i="1"/>
  <c r="AP58" i="1" s="1"/>
  <c r="U3" i="1"/>
  <c r="U54" i="1"/>
  <c r="AP54" i="1" s="1"/>
  <c r="U25" i="1"/>
  <c r="U52" i="1"/>
  <c r="AP52" i="1" s="1"/>
  <c r="U43" i="1"/>
  <c r="U8" i="1"/>
  <c r="U92" i="1"/>
  <c r="AP92" i="1" s="1"/>
  <c r="U71" i="1"/>
  <c r="AP71" i="1" s="1"/>
  <c r="U50" i="1"/>
  <c r="AP50" i="1" s="1"/>
  <c r="U31" i="1"/>
  <c r="AP31" i="1" s="1"/>
  <c r="U48" i="1"/>
  <c r="AP48" i="1" s="1"/>
  <c r="U27" i="1"/>
  <c r="U94" i="1"/>
  <c r="AP94" i="1" s="1"/>
  <c r="U76" i="1"/>
  <c r="AP76" i="1" s="1"/>
  <c r="U79" i="1"/>
  <c r="AP79" i="1" s="1"/>
  <c r="U38" i="1"/>
  <c r="U42" i="1"/>
  <c r="AP42" i="1" s="1"/>
  <c r="U37" i="1"/>
  <c r="U40" i="1"/>
  <c r="U49" i="1"/>
  <c r="AP49" i="1" s="1"/>
  <c r="U29" i="1"/>
  <c r="AP29" i="1" s="1"/>
  <c r="U20" i="1"/>
  <c r="AP20" i="1" s="1"/>
  <c r="U11" i="1"/>
  <c r="AP11" i="1" s="1"/>
  <c r="U44" i="1"/>
  <c r="U51" i="1"/>
  <c r="AP51" i="1" s="1"/>
  <c r="U32" i="1"/>
  <c r="AP32" i="1" s="1"/>
  <c r="U5" i="1"/>
  <c r="U83" i="1"/>
  <c r="AP83" i="1" s="1"/>
  <c r="U89" i="1"/>
  <c r="AP89" i="1" s="1"/>
  <c r="U73" i="1"/>
  <c r="AP73" i="1" s="1"/>
  <c r="U78" i="1"/>
  <c r="AP78" i="1" s="1"/>
  <c r="U75" i="1"/>
  <c r="U70" i="1"/>
  <c r="AP70" i="1" s="1"/>
  <c r="V2" i="1"/>
  <c r="U57" i="1"/>
  <c r="AP57" i="1" s="1"/>
  <c r="U39" i="1"/>
  <c r="U55" i="1"/>
  <c r="AP55" i="1" s="1"/>
  <c r="U35" i="1"/>
  <c r="AP35" i="1" s="1"/>
  <c r="U46" i="1"/>
  <c r="AP46" i="1" s="1"/>
  <c r="U26" i="1"/>
  <c r="U17" i="1"/>
  <c r="U6" i="1"/>
  <c r="U28" i="1"/>
  <c r="U47" i="1"/>
  <c r="AP47" i="1" s="1"/>
  <c r="U18" i="1"/>
  <c r="AP18" i="1" s="1"/>
  <c r="U13" i="1"/>
  <c r="AP13" i="1" s="1"/>
  <c r="U80" i="1"/>
  <c r="AP80" i="1" s="1"/>
  <c r="U93" i="1"/>
  <c r="U59" i="1"/>
  <c r="AP59" i="1" s="1"/>
  <c r="U74" i="1"/>
  <c r="AP74" i="1" s="1"/>
  <c r="AP6" i="1"/>
  <c r="AP15" i="1"/>
  <c r="AP7" i="1"/>
  <c r="AP12" i="1"/>
  <c r="AP16" i="1"/>
  <c r="AP5" i="1"/>
  <c r="AP26" i="1"/>
  <c r="AP17" i="1"/>
  <c r="AP25" i="1"/>
  <c r="AP44" i="1"/>
  <c r="AP27" i="1"/>
  <c r="AP28" i="1"/>
  <c r="AP43" i="1"/>
  <c r="AP8" i="1"/>
  <c r="AP75" i="1"/>
  <c r="AP40" i="1"/>
  <c r="AP93" i="1"/>
  <c r="AP37" i="1"/>
  <c r="AP3" i="1"/>
  <c r="AP39" i="1"/>
  <c r="AP38" i="1"/>
  <c r="BK50" i="1"/>
  <c r="BW50" i="1" s="1"/>
  <c r="BK48" i="1"/>
  <c r="BW48" i="1" s="1"/>
  <c r="BK49" i="1"/>
  <c r="BW49" i="1" s="1"/>
  <c r="BK42" i="1"/>
  <c r="BW42" i="1" s="1"/>
  <c r="BK35" i="1"/>
  <c r="BW35" i="1" s="1"/>
  <c r="BL2" i="1"/>
  <c r="BK3" i="1"/>
  <c r="BW3" i="1" s="1"/>
  <c r="BK38" i="1"/>
  <c r="BW38" i="1" s="1"/>
  <c r="BK39" i="1"/>
  <c r="BW39" i="1" s="1"/>
  <c r="BK40" i="1"/>
  <c r="BW40" i="1" s="1"/>
  <c r="BK5" i="1"/>
  <c r="BW5" i="1" s="1"/>
  <c r="BK6" i="1"/>
  <c r="BW6" i="1" s="1"/>
  <c r="BK7" i="1"/>
  <c r="BW7" i="1" s="1"/>
  <c r="BK8" i="1"/>
  <c r="BW8" i="1" s="1"/>
  <c r="BK9" i="1"/>
  <c r="BW9" i="1" s="1"/>
  <c r="BK11" i="1"/>
  <c r="BW11" i="1" s="1"/>
  <c r="BK12" i="1"/>
  <c r="BW12" i="1" s="1"/>
  <c r="BK13" i="1"/>
  <c r="BW13" i="1" s="1"/>
  <c r="BK14" i="1"/>
  <c r="BW14" i="1" s="1"/>
  <c r="BK15" i="1"/>
  <c r="BW15" i="1" s="1"/>
  <c r="BK16" i="1"/>
  <c r="BW16" i="1" s="1"/>
  <c r="BK17" i="1"/>
  <c r="BW17" i="1" s="1"/>
  <c r="BK18" i="1"/>
  <c r="BW18" i="1" s="1"/>
  <c r="BK19" i="1"/>
  <c r="BW19" i="1" s="1"/>
  <c r="BK20" i="1"/>
  <c r="BW20" i="1" s="1"/>
  <c r="BK26" i="1"/>
  <c r="BW26" i="1" s="1"/>
  <c r="BK28" i="1"/>
  <c r="BW28" i="1" s="1"/>
  <c r="BK30" i="1"/>
  <c r="BW30" i="1" s="1"/>
  <c r="BK45" i="1"/>
  <c r="BW45" i="1" s="1"/>
  <c r="BK51" i="1"/>
  <c r="BW51" i="1" s="1"/>
  <c r="BK53" i="1"/>
  <c r="BW53" i="1" s="1"/>
  <c r="BK56" i="1"/>
  <c r="BW56" i="1" s="1"/>
  <c r="BK25" i="1"/>
  <c r="BW25" i="1" s="1"/>
  <c r="BK27" i="1"/>
  <c r="BW27" i="1" s="1"/>
  <c r="BK29" i="1"/>
  <c r="BW29" i="1" s="1"/>
  <c r="BK43" i="1"/>
  <c r="BW43" i="1" s="1"/>
  <c r="BK46" i="1"/>
  <c r="BW46" i="1" s="1"/>
  <c r="BK47" i="1"/>
  <c r="BW47" i="1" s="1"/>
  <c r="BK52" i="1"/>
  <c r="BW52" i="1" s="1"/>
  <c r="BK54" i="1"/>
  <c r="BW54" i="1" s="1"/>
  <c r="BK37" i="1"/>
  <c r="BW37" i="1" s="1"/>
  <c r="AQ104" i="1" l="1"/>
  <c r="AQ100" i="1"/>
  <c r="V103" i="1"/>
  <c r="V102" i="1"/>
  <c r="AQ101" i="1"/>
  <c r="V101" i="1"/>
  <c r="V100" i="1"/>
  <c r="V105" i="1"/>
  <c r="AQ103" i="1"/>
  <c r="AQ105" i="1"/>
  <c r="V104" i="1"/>
  <c r="AQ102" i="1"/>
  <c r="AQ116" i="1"/>
  <c r="V115" i="1"/>
  <c r="AQ113" i="1"/>
  <c r="V113" i="1"/>
  <c r="AQ109" i="1"/>
  <c r="AQ111" i="1"/>
  <c r="AQ110" i="1"/>
  <c r="AQ108" i="1"/>
  <c r="AQ107" i="1"/>
  <c r="AQ114" i="1"/>
  <c r="AQ115" i="1"/>
  <c r="AQ112" i="1"/>
  <c r="V121" i="1"/>
  <c r="AQ121" i="1" s="1"/>
  <c r="V119" i="1"/>
  <c r="AQ119" i="1" s="1"/>
  <c r="V116" i="1"/>
  <c r="V114" i="1"/>
  <c r="V110" i="1"/>
  <c r="V91" i="1"/>
  <c r="AQ91" i="1" s="1"/>
  <c r="V106" i="1"/>
  <c r="AQ106" i="1" s="1"/>
  <c r="V120" i="1"/>
  <c r="AQ120" i="1" s="1"/>
  <c r="V108" i="1"/>
  <c r="V86" i="1"/>
  <c r="AQ86" i="1" s="1"/>
  <c r="V81" i="1"/>
  <c r="AQ81" i="1" s="1"/>
  <c r="V118" i="1"/>
  <c r="AQ118" i="1" s="1"/>
  <c r="V122" i="1"/>
  <c r="AQ122" i="1" s="1"/>
  <c r="V117" i="1"/>
  <c r="AQ117" i="1" s="1"/>
  <c r="V112" i="1"/>
  <c r="V111" i="1"/>
  <c r="V109" i="1"/>
  <c r="V123" i="1"/>
  <c r="AQ123" i="1" s="1"/>
  <c r="V107" i="1"/>
  <c r="BL36" i="1"/>
  <c r="BX36" i="1" s="1"/>
  <c r="BL41" i="1"/>
  <c r="BX41" i="1" s="1"/>
  <c r="V41" i="1"/>
  <c r="AQ41" i="1"/>
  <c r="V84" i="1"/>
  <c r="AQ84" i="1" s="1"/>
  <c r="V96" i="1"/>
  <c r="AQ96" i="1" s="1"/>
  <c r="V36" i="1"/>
  <c r="AQ36" i="1" s="1"/>
  <c r="V15" i="1"/>
  <c r="V53" i="1"/>
  <c r="AQ53" i="1" s="1"/>
  <c r="BL22" i="1"/>
  <c r="BX22" i="1" s="1"/>
  <c r="BL10" i="1"/>
  <c r="BX10" i="1" s="1"/>
  <c r="BL24" i="1"/>
  <c r="BX24" i="1" s="1"/>
  <c r="BL23" i="1"/>
  <c r="BX23" i="1" s="1"/>
  <c r="BL21" i="1"/>
  <c r="BX21" i="1" s="1"/>
  <c r="AQ43" i="1"/>
  <c r="V23" i="1"/>
  <c r="AQ23" i="1" s="1"/>
  <c r="V10" i="1"/>
  <c r="AQ10" i="1" s="1"/>
  <c r="AQ21" i="1"/>
  <c r="V22" i="1"/>
  <c r="AQ22" i="1"/>
  <c r="V24" i="1"/>
  <c r="AQ24" i="1" s="1"/>
  <c r="V21" i="1"/>
  <c r="V99" i="1"/>
  <c r="AQ99" i="1" s="1"/>
  <c r="V98" i="1"/>
  <c r="AQ98" i="1" s="1"/>
  <c r="V97" i="1"/>
  <c r="AQ97" i="1" s="1"/>
  <c r="V62" i="1"/>
  <c r="AQ62" i="1" s="1"/>
  <c r="V61" i="1"/>
  <c r="AQ61" i="1" s="1"/>
  <c r="V60" i="1"/>
  <c r="AQ60" i="1" s="1"/>
  <c r="AQ5" i="1"/>
  <c r="V34" i="1"/>
  <c r="AQ34" i="1" s="1"/>
  <c r="BL55" i="1"/>
  <c r="BX55" i="1" s="1"/>
  <c r="BL4" i="1"/>
  <c r="BX4" i="1" s="1"/>
  <c r="V45" i="1"/>
  <c r="AQ45" i="1" s="1"/>
  <c r="V93" i="1"/>
  <c r="V42" i="1"/>
  <c r="AQ42" i="1" s="1"/>
  <c r="V29" i="1"/>
  <c r="AQ29" i="1" s="1"/>
  <c r="V9" i="1"/>
  <c r="V92" i="1"/>
  <c r="AQ92" i="1" s="1"/>
  <c r="V74" i="1"/>
  <c r="AQ74" i="1" s="1"/>
  <c r="AQ37" i="1"/>
  <c r="AQ7" i="1"/>
  <c r="V14" i="1"/>
  <c r="AQ14" i="1" s="1"/>
  <c r="V78" i="1"/>
  <c r="AQ78" i="1" s="1"/>
  <c r="AQ3" i="1"/>
  <c r="AQ16" i="1"/>
  <c r="W2" i="1"/>
  <c r="V56" i="1"/>
  <c r="AQ56" i="1" s="1"/>
  <c r="V57" i="1"/>
  <c r="AQ57" i="1" s="1"/>
  <c r="V17" i="1"/>
  <c r="V95" i="1"/>
  <c r="AQ95" i="1" s="1"/>
  <c r="V82" i="1"/>
  <c r="AQ82" i="1" s="1"/>
  <c r="V87" i="1"/>
  <c r="AQ87" i="1" s="1"/>
  <c r="AQ4" i="1"/>
  <c r="V90" i="1"/>
  <c r="AQ90" i="1" s="1"/>
  <c r="V4" i="1"/>
  <c r="AQ15" i="1"/>
  <c r="V68" i="1"/>
  <c r="AQ68" i="1" s="1"/>
  <c r="V67" i="1"/>
  <c r="AQ67" i="1" s="1"/>
  <c r="V66" i="1"/>
  <c r="AQ66" i="1" s="1"/>
  <c r="V65" i="1"/>
  <c r="AQ65" i="1" s="1"/>
  <c r="V64" i="1"/>
  <c r="AQ64" i="1" s="1"/>
  <c r="V63" i="1"/>
  <c r="AQ63" i="1" s="1"/>
  <c r="V44" i="1"/>
  <c r="V35" i="1"/>
  <c r="AQ35" i="1" s="1"/>
  <c r="V33" i="1"/>
  <c r="AQ33" i="1" s="1"/>
  <c r="V27" i="1"/>
  <c r="V30" i="1"/>
  <c r="AQ30" i="1" s="1"/>
  <c r="V8" i="1"/>
  <c r="V69" i="1"/>
  <c r="AQ69" i="1" s="1"/>
  <c r="V94" i="1"/>
  <c r="V59" i="1"/>
  <c r="AQ59" i="1" s="1"/>
  <c r="AQ93" i="1"/>
  <c r="AQ12" i="1"/>
  <c r="AQ6" i="1"/>
  <c r="V48" i="1"/>
  <c r="AQ48" i="1" s="1"/>
  <c r="V40" i="1"/>
  <c r="V16" i="1"/>
  <c r="V43" i="1"/>
  <c r="V46" i="1"/>
  <c r="AQ46" i="1" s="1"/>
  <c r="V13" i="1"/>
  <c r="V75" i="1"/>
  <c r="V89" i="1"/>
  <c r="AQ89" i="1" s="1"/>
  <c r="V73" i="1"/>
  <c r="AQ73" i="1" s="1"/>
  <c r="AQ40" i="1"/>
  <c r="AQ26" i="1"/>
  <c r="AQ9" i="1"/>
  <c r="V58" i="1"/>
  <c r="AQ58" i="1" s="1"/>
  <c r="V38" i="1"/>
  <c r="V25" i="1"/>
  <c r="V32" i="1"/>
  <c r="AQ32" i="1" s="1"/>
  <c r="V12" i="1"/>
  <c r="V88" i="1"/>
  <c r="AQ88" i="1" s="1"/>
  <c r="AQ94" i="1"/>
  <c r="V28" i="1"/>
  <c r="V37" i="1"/>
  <c r="V54" i="1"/>
  <c r="AQ54" i="1" s="1"/>
  <c r="V19" i="1"/>
  <c r="AQ19" i="1" s="1"/>
  <c r="V51" i="1"/>
  <c r="AQ51" i="1" s="1"/>
  <c r="V5" i="1"/>
  <c r="V26" i="1"/>
  <c r="V11" i="1"/>
  <c r="AQ11" i="1" s="1"/>
  <c r="V79" i="1"/>
  <c r="AQ79" i="1" s="1"/>
  <c r="V72" i="1"/>
  <c r="AQ72" i="1" s="1"/>
  <c r="V83" i="1"/>
  <c r="AQ83" i="1" s="1"/>
  <c r="V71" i="1"/>
  <c r="AQ71" i="1" s="1"/>
  <c r="AQ75" i="1"/>
  <c r="AQ13" i="1"/>
  <c r="AQ28" i="1"/>
  <c r="AQ17" i="1"/>
  <c r="AQ18" i="1"/>
  <c r="V52" i="1"/>
  <c r="AQ52" i="1" s="1"/>
  <c r="V3" i="1"/>
  <c r="V55" i="1"/>
  <c r="AQ55" i="1" s="1"/>
  <c r="V49" i="1"/>
  <c r="AQ49" i="1" s="1"/>
  <c r="V20" i="1"/>
  <c r="AQ20" i="1" s="1"/>
  <c r="V39" i="1"/>
  <c r="V47" i="1"/>
  <c r="AQ47" i="1" s="1"/>
  <c r="V18" i="1"/>
  <c r="V50" i="1"/>
  <c r="AQ50" i="1" s="1"/>
  <c r="V31" i="1"/>
  <c r="AQ31" i="1" s="1"/>
  <c r="V6" i="1"/>
  <c r="V7" i="1"/>
  <c r="V77" i="1"/>
  <c r="AQ77" i="1" s="1"/>
  <c r="V70" i="1"/>
  <c r="AQ70" i="1" s="1"/>
  <c r="V85" i="1"/>
  <c r="AQ85" i="1" s="1"/>
  <c r="V80" i="1"/>
  <c r="AQ80" i="1" s="1"/>
  <c r="V76" i="1"/>
  <c r="AQ76" i="1" s="1"/>
  <c r="AQ38" i="1"/>
  <c r="AQ39" i="1"/>
  <c r="AQ44" i="1"/>
  <c r="AQ27" i="1"/>
  <c r="AQ25" i="1"/>
  <c r="AQ8" i="1"/>
  <c r="AR15" i="1"/>
  <c r="W29" i="1"/>
  <c r="W55" i="1"/>
  <c r="AR55" i="1" s="1"/>
  <c r="BL50" i="1"/>
  <c r="BX50" i="1" s="1"/>
  <c r="BL49" i="1"/>
  <c r="BX49" i="1" s="1"/>
  <c r="BL48" i="1"/>
  <c r="BX48" i="1" s="1"/>
  <c r="BL42" i="1"/>
  <c r="BX42" i="1" s="1"/>
  <c r="BL35" i="1"/>
  <c r="BX35" i="1" s="1"/>
  <c r="BM2" i="1"/>
  <c r="BL38" i="1"/>
  <c r="BX38" i="1" s="1"/>
  <c r="BL39" i="1"/>
  <c r="BX39" i="1" s="1"/>
  <c r="BL40" i="1"/>
  <c r="BX40" i="1" s="1"/>
  <c r="BL5" i="1"/>
  <c r="BX5" i="1" s="1"/>
  <c r="BL6" i="1"/>
  <c r="BX6" i="1" s="1"/>
  <c r="BL7" i="1"/>
  <c r="BX7" i="1" s="1"/>
  <c r="BL8" i="1"/>
  <c r="BX8" i="1" s="1"/>
  <c r="BL9" i="1"/>
  <c r="BX9" i="1" s="1"/>
  <c r="BL20" i="1"/>
  <c r="BX20" i="1" s="1"/>
  <c r="BL26" i="1"/>
  <c r="BX26" i="1" s="1"/>
  <c r="BL28" i="1"/>
  <c r="BX28" i="1" s="1"/>
  <c r="BL30" i="1"/>
  <c r="BX30" i="1" s="1"/>
  <c r="BL45" i="1"/>
  <c r="BX45" i="1" s="1"/>
  <c r="BL51" i="1"/>
  <c r="BX51" i="1" s="1"/>
  <c r="BL53" i="1"/>
  <c r="BX53" i="1" s="1"/>
  <c r="BL56" i="1"/>
  <c r="BX56" i="1" s="1"/>
  <c r="BL3" i="1"/>
  <c r="BX3" i="1" s="1"/>
  <c r="BL11" i="1"/>
  <c r="BX11" i="1" s="1"/>
  <c r="BL12" i="1"/>
  <c r="BX12" i="1" s="1"/>
  <c r="BL13" i="1"/>
  <c r="BX13" i="1" s="1"/>
  <c r="BL14" i="1"/>
  <c r="BX14" i="1" s="1"/>
  <c r="BL15" i="1"/>
  <c r="BX15" i="1" s="1"/>
  <c r="BL16" i="1"/>
  <c r="BX16" i="1" s="1"/>
  <c r="BL17" i="1"/>
  <c r="BX17" i="1" s="1"/>
  <c r="BL18" i="1"/>
  <c r="BX18" i="1" s="1"/>
  <c r="BL19" i="1"/>
  <c r="BX19" i="1" s="1"/>
  <c r="BL25" i="1"/>
  <c r="BX25" i="1" s="1"/>
  <c r="BL27" i="1"/>
  <c r="BX27" i="1" s="1"/>
  <c r="BL29" i="1"/>
  <c r="BX29" i="1" s="1"/>
  <c r="BL43" i="1"/>
  <c r="BX43" i="1" s="1"/>
  <c r="BL46" i="1"/>
  <c r="BX46" i="1" s="1"/>
  <c r="BL47" i="1"/>
  <c r="BX47" i="1" s="1"/>
  <c r="BL52" i="1"/>
  <c r="BX52" i="1" s="1"/>
  <c r="BL54" i="1"/>
  <c r="BX54" i="1" s="1"/>
  <c r="BL37" i="1"/>
  <c r="BX37" i="1" s="1"/>
  <c r="W100" i="1" l="1"/>
  <c r="AR105" i="1"/>
  <c r="W104" i="1"/>
  <c r="W103" i="1"/>
  <c r="W105" i="1"/>
  <c r="AR103" i="1"/>
  <c r="AR102" i="1"/>
  <c r="AR104" i="1"/>
  <c r="AR101" i="1"/>
  <c r="W101" i="1"/>
  <c r="AR100" i="1"/>
  <c r="W102" i="1"/>
  <c r="AR116" i="1"/>
  <c r="AR113" i="1"/>
  <c r="AR109" i="1"/>
  <c r="AR106" i="1"/>
  <c r="AR117" i="1"/>
  <c r="AR114" i="1"/>
  <c r="AR108" i="1"/>
  <c r="AR107" i="1"/>
  <c r="AR115" i="1"/>
  <c r="AR112" i="1"/>
  <c r="AR111" i="1"/>
  <c r="AR110" i="1"/>
  <c r="W118" i="1"/>
  <c r="AR118" i="1" s="1"/>
  <c r="W112" i="1"/>
  <c r="W113" i="1"/>
  <c r="W109" i="1"/>
  <c r="W86" i="1"/>
  <c r="AR86" i="1" s="1"/>
  <c r="W119" i="1"/>
  <c r="AR119" i="1" s="1"/>
  <c r="W114" i="1"/>
  <c r="W116" i="1"/>
  <c r="W117" i="1"/>
  <c r="W107" i="1"/>
  <c r="W120" i="1"/>
  <c r="AR120" i="1" s="1"/>
  <c r="W111" i="1"/>
  <c r="W108" i="1"/>
  <c r="W106" i="1"/>
  <c r="W121" i="1"/>
  <c r="AR121" i="1" s="1"/>
  <c r="W122" i="1"/>
  <c r="AR122" i="1" s="1"/>
  <c r="W123" i="1"/>
  <c r="AR123" i="1" s="1"/>
  <c r="W115" i="1"/>
  <c r="W110" i="1"/>
  <c r="W91" i="1"/>
  <c r="AR91" i="1" s="1"/>
  <c r="W81" i="1"/>
  <c r="AR81" i="1" s="1"/>
  <c r="AR41" i="1"/>
  <c r="W41" i="1"/>
  <c r="BM36" i="1"/>
  <c r="BY36" i="1" s="1"/>
  <c r="BM41" i="1"/>
  <c r="BY41" i="1" s="1"/>
  <c r="W66" i="1"/>
  <c r="AR66" i="1" s="1"/>
  <c r="W96" i="1"/>
  <c r="AR96" i="1" s="1"/>
  <c r="W36" i="1"/>
  <c r="AR36" i="1" s="1"/>
  <c r="W27" i="1"/>
  <c r="W71" i="1"/>
  <c r="AR71" i="1" s="1"/>
  <c r="AR17" i="1"/>
  <c r="W40" i="1"/>
  <c r="W17" i="1"/>
  <c r="W79" i="1"/>
  <c r="AR79" i="1" s="1"/>
  <c r="W56" i="1"/>
  <c r="AR56" i="1" s="1"/>
  <c r="W78" i="1"/>
  <c r="AR78" i="1" s="1"/>
  <c r="AR26" i="1"/>
  <c r="X2" i="1"/>
  <c r="X21" i="1" s="1"/>
  <c r="W39" i="1"/>
  <c r="W19" i="1"/>
  <c r="AR19" i="1" s="1"/>
  <c r="W12" i="1"/>
  <c r="W95" i="1"/>
  <c r="AR95" i="1" s="1"/>
  <c r="AR40" i="1"/>
  <c r="AR6" i="1"/>
  <c r="W58" i="1"/>
  <c r="AR58" i="1" s="1"/>
  <c r="W5" i="1"/>
  <c r="W46" i="1"/>
  <c r="AR46" i="1" s="1"/>
  <c r="W6" i="1"/>
  <c r="W92" i="1"/>
  <c r="AR92" i="1" s="1"/>
  <c r="AR18" i="1"/>
  <c r="BM22" i="1"/>
  <c r="BY22" i="1" s="1"/>
  <c r="BM10" i="1"/>
  <c r="BY10" i="1" s="1"/>
  <c r="BM24" i="1"/>
  <c r="BY24" i="1" s="1"/>
  <c r="BM23" i="1"/>
  <c r="BY23" i="1" s="1"/>
  <c r="BM21" i="1"/>
  <c r="BY21" i="1" s="1"/>
  <c r="AS10" i="1"/>
  <c r="AS22" i="1"/>
  <c r="X24" i="1"/>
  <c r="AS24" i="1" s="1"/>
  <c r="AS23" i="1"/>
  <c r="X23" i="1"/>
  <c r="X10" i="1"/>
  <c r="AS21" i="1"/>
  <c r="X22" i="1"/>
  <c r="W22" i="1"/>
  <c r="AR22" i="1"/>
  <c r="W24" i="1"/>
  <c r="AR24" i="1" s="1"/>
  <c r="W21" i="1"/>
  <c r="W23" i="1"/>
  <c r="AR23" i="1" s="1"/>
  <c r="W10" i="1"/>
  <c r="AR10" i="1" s="1"/>
  <c r="AR21" i="1"/>
  <c r="W82" i="1"/>
  <c r="AR82" i="1" s="1"/>
  <c r="X34" i="1"/>
  <c r="AS34" i="1" s="1"/>
  <c r="X98" i="1"/>
  <c r="AS98" i="1" s="1"/>
  <c r="X99" i="1"/>
  <c r="AS99" i="1" s="1"/>
  <c r="X62" i="1"/>
  <c r="AS62" i="1" s="1"/>
  <c r="X61" i="1"/>
  <c r="AS61" i="1" s="1"/>
  <c r="X60" i="1"/>
  <c r="AS60" i="1" s="1"/>
  <c r="X97" i="1"/>
  <c r="AS97" i="1" s="1"/>
  <c r="W34" i="1"/>
  <c r="AR34" i="1" s="1"/>
  <c r="W97" i="1"/>
  <c r="AR97" i="1" s="1"/>
  <c r="W62" i="1"/>
  <c r="AR62" i="1" s="1"/>
  <c r="W61" i="1"/>
  <c r="AR61" i="1" s="1"/>
  <c r="W60" i="1"/>
  <c r="AR60" i="1" s="1"/>
  <c r="W99" i="1"/>
  <c r="AR99" i="1" s="1"/>
  <c r="W98" i="1"/>
  <c r="AR98" i="1" s="1"/>
  <c r="W28" i="1"/>
  <c r="W37" i="1"/>
  <c r="W35" i="1"/>
  <c r="AR35" i="1" s="1"/>
  <c r="W9" i="1"/>
  <c r="W38" i="1"/>
  <c r="W43" i="1"/>
  <c r="W33" i="1"/>
  <c r="AR33" i="1" s="1"/>
  <c r="W50" i="1"/>
  <c r="AR50" i="1" s="1"/>
  <c r="W31" i="1"/>
  <c r="AR31" i="1" s="1"/>
  <c r="W45" i="1"/>
  <c r="AR45" i="1" s="1"/>
  <c r="W16" i="1"/>
  <c r="W11" i="1"/>
  <c r="AR11" i="1" s="1"/>
  <c r="W80" i="1"/>
  <c r="AR80" i="1" s="1"/>
  <c r="W73" i="1"/>
  <c r="AR73" i="1" s="1"/>
  <c r="W89" i="1"/>
  <c r="AR89" i="1" s="1"/>
  <c r="W93" i="1"/>
  <c r="W70" i="1"/>
  <c r="AR70" i="1" s="1"/>
  <c r="AR93" i="1"/>
  <c r="AR3" i="1"/>
  <c r="AR88" i="1"/>
  <c r="AR27" i="1"/>
  <c r="AR29" i="1"/>
  <c r="AR12" i="1"/>
  <c r="W54" i="1"/>
  <c r="AR54" i="1" s="1"/>
  <c r="W48" i="1"/>
  <c r="AR48" i="1" s="1"/>
  <c r="W57" i="1"/>
  <c r="AR57" i="1" s="1"/>
  <c r="W3" i="1"/>
  <c r="W51" i="1"/>
  <c r="AR51" i="1" s="1"/>
  <c r="W32" i="1"/>
  <c r="AR32" i="1" s="1"/>
  <c r="W13" i="1"/>
  <c r="W30" i="1"/>
  <c r="AR30" i="1" s="1"/>
  <c r="W53" i="1"/>
  <c r="AR53" i="1" s="1"/>
  <c r="W25" i="1"/>
  <c r="W7" i="1"/>
  <c r="W94" i="1"/>
  <c r="W76" i="1"/>
  <c r="AR76" i="1" s="1"/>
  <c r="W59" i="1"/>
  <c r="AR59" i="1" s="1"/>
  <c r="W84" i="1"/>
  <c r="AR84" i="1" s="1"/>
  <c r="W77" i="1"/>
  <c r="AR77" i="1" s="1"/>
  <c r="W75" i="1"/>
  <c r="AR75" i="1"/>
  <c r="AR44" i="1"/>
  <c r="AR38" i="1"/>
  <c r="AR16" i="1"/>
  <c r="AR25" i="1"/>
  <c r="AR28" i="1"/>
  <c r="AR9" i="1"/>
  <c r="AR13" i="1"/>
  <c r="W68" i="1"/>
  <c r="AR68" i="1" s="1"/>
  <c r="W52" i="1"/>
  <c r="AR52" i="1" s="1"/>
  <c r="W44" i="1"/>
  <c r="W14" i="1"/>
  <c r="AR14" i="1" s="1"/>
  <c r="W42" i="1"/>
  <c r="AR42" i="1" s="1"/>
  <c r="W47" i="1"/>
  <c r="AR47" i="1" s="1"/>
  <c r="W18" i="1"/>
  <c r="W8" i="1"/>
  <c r="W26" i="1"/>
  <c r="W49" i="1"/>
  <c r="AR49" i="1" s="1"/>
  <c r="W20" i="1"/>
  <c r="AR20" i="1" s="1"/>
  <c r="W15" i="1"/>
  <c r="W83" i="1"/>
  <c r="AR83" i="1" s="1"/>
  <c r="W74" i="1"/>
  <c r="AR74" i="1" s="1"/>
  <c r="W85" i="1"/>
  <c r="AR85" i="1" s="1"/>
  <c r="W88" i="1"/>
  <c r="W69" i="1"/>
  <c r="AR69" i="1" s="1"/>
  <c r="W72" i="1"/>
  <c r="AR72" i="1" s="1"/>
  <c r="AR37" i="1"/>
  <c r="AR39" i="1"/>
  <c r="AR94" i="1"/>
  <c r="AR43" i="1"/>
  <c r="AR7" i="1"/>
  <c r="AR5" i="1"/>
  <c r="AR8" i="1"/>
  <c r="W63" i="1"/>
  <c r="AR63" i="1" s="1"/>
  <c r="AR4" i="1"/>
  <c r="W90" i="1"/>
  <c r="AR90" i="1" s="1"/>
  <c r="W4" i="1"/>
  <c r="W87" i="1"/>
  <c r="AR87" i="1" s="1"/>
  <c r="BM55" i="1"/>
  <c r="BY55" i="1" s="1"/>
  <c r="BM4" i="1"/>
  <c r="BY4" i="1" s="1"/>
  <c r="W64" i="1"/>
  <c r="AR64" i="1" s="1"/>
  <c r="X4" i="1"/>
  <c r="X90" i="1"/>
  <c r="AS90" i="1" s="1"/>
  <c r="X87" i="1"/>
  <c r="AS87" i="1" s="1"/>
  <c r="AS4" i="1"/>
  <c r="W67" i="1"/>
  <c r="AR67" i="1" s="1"/>
  <c r="W65" i="1"/>
  <c r="AR65" i="1" s="1"/>
  <c r="X82" i="1"/>
  <c r="AS82" i="1" s="1"/>
  <c r="X68" i="1"/>
  <c r="AS68" i="1" s="1"/>
  <c r="X67" i="1"/>
  <c r="AS67" i="1" s="1"/>
  <c r="X66" i="1"/>
  <c r="AS66" i="1" s="1"/>
  <c r="X65" i="1"/>
  <c r="AS65" i="1" s="1"/>
  <c r="X64" i="1"/>
  <c r="AS64" i="1" s="1"/>
  <c r="X63" i="1"/>
  <c r="AS63" i="1" s="1"/>
  <c r="X58" i="1"/>
  <c r="AS58" i="1" s="1"/>
  <c r="AS7" i="1"/>
  <c r="AS12" i="1"/>
  <c r="AS16" i="1"/>
  <c r="AS8" i="1"/>
  <c r="AS13" i="1"/>
  <c r="AS17" i="1"/>
  <c r="AS6" i="1"/>
  <c r="AS15" i="1"/>
  <c r="AS5" i="1"/>
  <c r="AS14" i="1"/>
  <c r="AS27" i="1"/>
  <c r="AS9" i="1"/>
  <c r="AS45" i="1"/>
  <c r="AS28" i="1"/>
  <c r="AS29" i="1"/>
  <c r="AS46" i="1"/>
  <c r="AS19" i="1"/>
  <c r="AS44" i="1"/>
  <c r="AS75" i="1"/>
  <c r="AS18" i="1"/>
  <c r="AS25" i="1"/>
  <c r="AS26" i="1"/>
  <c r="AS43" i="1"/>
  <c r="AS76" i="1"/>
  <c r="AS93" i="1"/>
  <c r="AS37" i="1"/>
  <c r="AS88" i="1"/>
  <c r="AS94" i="1"/>
  <c r="AS38" i="1"/>
  <c r="AS3" i="1"/>
  <c r="AS47" i="1"/>
  <c r="AS40" i="1"/>
  <c r="AS39" i="1"/>
  <c r="X71" i="1"/>
  <c r="AS71" i="1" s="1"/>
  <c r="X74" i="1"/>
  <c r="AS74" i="1" s="1"/>
  <c r="X78" i="1"/>
  <c r="AS78" i="1" s="1"/>
  <c r="X59" i="1"/>
  <c r="AS59" i="1" s="1"/>
  <c r="X73" i="1"/>
  <c r="AS73" i="1" s="1"/>
  <c r="X76" i="1"/>
  <c r="X72" i="1"/>
  <c r="AS72" i="1" s="1"/>
  <c r="X75" i="1"/>
  <c r="X79" i="1"/>
  <c r="AS79" i="1" s="1"/>
  <c r="X89" i="1"/>
  <c r="AS89" i="1" s="1"/>
  <c r="X85" i="1"/>
  <c r="AS85" i="1" s="1"/>
  <c r="X70" i="1"/>
  <c r="AS70" i="1" s="1"/>
  <c r="X69" i="1"/>
  <c r="AS69" i="1" s="1"/>
  <c r="X77" i="1"/>
  <c r="AS77" i="1" s="1"/>
  <c r="X80" i="1"/>
  <c r="AS80" i="1" s="1"/>
  <c r="X83" i="1"/>
  <c r="AS83" i="1" s="1"/>
  <c r="X94" i="1"/>
  <c r="X92" i="1"/>
  <c r="AS92" i="1" s="1"/>
  <c r="X93" i="1"/>
  <c r="X88" i="1"/>
  <c r="X84" i="1"/>
  <c r="AS84" i="1" s="1"/>
  <c r="X95" i="1"/>
  <c r="AS95" i="1" s="1"/>
  <c r="X5" i="1"/>
  <c r="X9" i="1"/>
  <c r="X14" i="1"/>
  <c r="X6" i="1"/>
  <c r="X11" i="1"/>
  <c r="AS11" i="1" s="1"/>
  <c r="X15" i="1"/>
  <c r="X7" i="1"/>
  <c r="X8" i="1"/>
  <c r="X12" i="1"/>
  <c r="X13" i="1"/>
  <c r="X19" i="1"/>
  <c r="X33" i="1"/>
  <c r="AS33" i="1" s="1"/>
  <c r="X28" i="1"/>
  <c r="X44" i="1"/>
  <c r="X48" i="1"/>
  <c r="AS48" i="1" s="1"/>
  <c r="X52" i="1"/>
  <c r="AS52" i="1" s="1"/>
  <c r="X16" i="1"/>
  <c r="X20" i="1"/>
  <c r="AS20" i="1" s="1"/>
  <c r="X25" i="1"/>
  <c r="X29" i="1"/>
  <c r="X45" i="1"/>
  <c r="X49" i="1"/>
  <c r="AS49" i="1" s="1"/>
  <c r="X55" i="1"/>
  <c r="AS55" i="1" s="1"/>
  <c r="X37" i="1"/>
  <c r="X17" i="1"/>
  <c r="X18" i="1"/>
  <c r="X31" i="1"/>
  <c r="AS31" i="1" s="1"/>
  <c r="X32" i="1"/>
  <c r="AS32" i="1" s="1"/>
  <c r="X26" i="1"/>
  <c r="X27" i="1"/>
  <c r="X30" i="1"/>
  <c r="AS30" i="1" s="1"/>
  <c r="X43" i="1"/>
  <c r="X46" i="1"/>
  <c r="X47" i="1"/>
  <c r="X50" i="1"/>
  <c r="AS50" i="1" s="1"/>
  <c r="X51" i="1"/>
  <c r="AS51" i="1" s="1"/>
  <c r="X53" i="1"/>
  <c r="AS53" i="1" s="1"/>
  <c r="X56" i="1"/>
  <c r="AS56" i="1" s="1"/>
  <c r="X38" i="1"/>
  <c r="X42" i="1"/>
  <c r="AS42" i="1" s="1"/>
  <c r="X3" i="1"/>
  <c r="X57" i="1"/>
  <c r="AS57" i="1" s="1"/>
  <c r="X35" i="1"/>
  <c r="AS35" i="1" s="1"/>
  <c r="X54" i="1"/>
  <c r="AS54" i="1" s="1"/>
  <c r="X39" i="1"/>
  <c r="X40" i="1"/>
  <c r="Y2" i="1"/>
  <c r="BM49" i="1"/>
  <c r="BY49" i="1" s="1"/>
  <c r="BM50" i="1"/>
  <c r="BY50" i="1" s="1"/>
  <c r="BM48" i="1"/>
  <c r="BY48" i="1" s="1"/>
  <c r="BM42" i="1"/>
  <c r="BY42" i="1" s="1"/>
  <c r="BM35" i="1"/>
  <c r="BY35" i="1" s="1"/>
  <c r="BN2" i="1"/>
  <c r="BM38" i="1"/>
  <c r="BY38" i="1" s="1"/>
  <c r="BM39" i="1"/>
  <c r="BY39" i="1" s="1"/>
  <c r="BM40" i="1"/>
  <c r="BY40" i="1" s="1"/>
  <c r="BM5" i="1"/>
  <c r="BY5" i="1" s="1"/>
  <c r="BM6" i="1"/>
  <c r="BY6" i="1" s="1"/>
  <c r="BM7" i="1"/>
  <c r="BY7" i="1" s="1"/>
  <c r="BM8" i="1"/>
  <c r="BY8" i="1" s="1"/>
  <c r="BM9" i="1"/>
  <c r="BY9" i="1" s="1"/>
  <c r="BM11" i="1"/>
  <c r="BY11" i="1" s="1"/>
  <c r="BM12" i="1"/>
  <c r="BY12" i="1" s="1"/>
  <c r="BM13" i="1"/>
  <c r="BY13" i="1" s="1"/>
  <c r="BM14" i="1"/>
  <c r="BY14" i="1" s="1"/>
  <c r="BM15" i="1"/>
  <c r="BY15" i="1" s="1"/>
  <c r="BM16" i="1"/>
  <c r="BY16" i="1" s="1"/>
  <c r="BM17" i="1"/>
  <c r="BY17" i="1" s="1"/>
  <c r="BM18" i="1"/>
  <c r="BY18" i="1" s="1"/>
  <c r="BM19" i="1"/>
  <c r="BY19" i="1" s="1"/>
  <c r="BM20" i="1"/>
  <c r="BY20" i="1" s="1"/>
  <c r="BM25" i="1"/>
  <c r="BY25" i="1" s="1"/>
  <c r="BM26" i="1"/>
  <c r="BY26" i="1" s="1"/>
  <c r="BM27" i="1"/>
  <c r="BY27" i="1" s="1"/>
  <c r="BM28" i="1"/>
  <c r="BY28" i="1" s="1"/>
  <c r="BM29" i="1"/>
  <c r="BY29" i="1" s="1"/>
  <c r="BM30" i="1"/>
  <c r="BY30" i="1" s="1"/>
  <c r="BM43" i="1"/>
  <c r="BY43" i="1" s="1"/>
  <c r="BM45" i="1"/>
  <c r="BY45" i="1" s="1"/>
  <c r="BM46" i="1"/>
  <c r="BY46" i="1" s="1"/>
  <c r="BM47" i="1"/>
  <c r="BY47" i="1" s="1"/>
  <c r="BM51" i="1"/>
  <c r="BY51" i="1" s="1"/>
  <c r="BM52" i="1"/>
  <c r="BY52" i="1" s="1"/>
  <c r="BM53" i="1"/>
  <c r="BY53" i="1" s="1"/>
  <c r="BM54" i="1"/>
  <c r="BY54" i="1" s="1"/>
  <c r="BM56" i="1"/>
  <c r="BY56" i="1" s="1"/>
  <c r="BM37" i="1"/>
  <c r="BY37" i="1" s="1"/>
  <c r="BM3" i="1"/>
  <c r="BY3" i="1" s="1"/>
  <c r="Y105" i="1" l="1"/>
  <c r="AT103" i="1"/>
  <c r="AT102" i="1"/>
  <c r="AT101" i="1"/>
  <c r="Y101" i="1"/>
  <c r="AT104" i="1"/>
  <c r="AT105" i="1"/>
  <c r="Y104" i="1"/>
  <c r="AT100" i="1"/>
  <c r="Y102" i="1"/>
  <c r="Y103" i="1"/>
  <c r="Y100" i="1"/>
  <c r="AS105" i="1"/>
  <c r="X104" i="1"/>
  <c r="X103" i="1"/>
  <c r="X102" i="1"/>
  <c r="X105" i="1"/>
  <c r="AS103" i="1"/>
  <c r="AS102" i="1"/>
  <c r="AS104" i="1"/>
  <c r="AS101" i="1"/>
  <c r="X100" i="1"/>
  <c r="AS100" i="1"/>
  <c r="X101" i="1"/>
  <c r="AS118" i="1"/>
  <c r="AS117" i="1"/>
  <c r="AS114" i="1"/>
  <c r="X117" i="1"/>
  <c r="AS115" i="1"/>
  <c r="AS112" i="1"/>
  <c r="AS111" i="1"/>
  <c r="AS110" i="1"/>
  <c r="AS108" i="1"/>
  <c r="AS107" i="1"/>
  <c r="X123" i="1"/>
  <c r="AS123" i="1" s="1"/>
  <c r="AS109" i="1"/>
  <c r="AS113" i="1"/>
  <c r="AS116" i="1"/>
  <c r="X118" i="1"/>
  <c r="X115" i="1"/>
  <c r="X112" i="1"/>
  <c r="X106" i="1"/>
  <c r="AS106" i="1" s="1"/>
  <c r="X120" i="1"/>
  <c r="AS120" i="1" s="1"/>
  <c r="X116" i="1"/>
  <c r="X108" i="1"/>
  <c r="X119" i="1"/>
  <c r="AS119" i="1" s="1"/>
  <c r="X107" i="1"/>
  <c r="X86" i="1"/>
  <c r="AS86" i="1" s="1"/>
  <c r="X114" i="1"/>
  <c r="X122" i="1"/>
  <c r="AS122" i="1" s="1"/>
  <c r="X113" i="1"/>
  <c r="X111" i="1"/>
  <c r="X109" i="1"/>
  <c r="X121" i="1"/>
  <c r="AS121" i="1" s="1"/>
  <c r="X91" i="1"/>
  <c r="AS91" i="1" s="1"/>
  <c r="X81" i="1"/>
  <c r="AS81" i="1" s="1"/>
  <c r="X110" i="1"/>
  <c r="AT115" i="1"/>
  <c r="AT112" i="1"/>
  <c r="AT111" i="1"/>
  <c r="AT110" i="1"/>
  <c r="AT108" i="1"/>
  <c r="AT107" i="1"/>
  <c r="Y116" i="1"/>
  <c r="Y122" i="1"/>
  <c r="AT122" i="1" s="1"/>
  <c r="AT119" i="1"/>
  <c r="Y109" i="1"/>
  <c r="Y112" i="1"/>
  <c r="AT113" i="1"/>
  <c r="AT117" i="1"/>
  <c r="AT114" i="1"/>
  <c r="Y121" i="1"/>
  <c r="AT121" i="1" s="1"/>
  <c r="AT118" i="1"/>
  <c r="AT116" i="1"/>
  <c r="AT109" i="1"/>
  <c r="Y107" i="1"/>
  <c r="Y106" i="1"/>
  <c r="AT106" i="1" s="1"/>
  <c r="Y119" i="1"/>
  <c r="Y114" i="1"/>
  <c r="Y108" i="1"/>
  <c r="Y81" i="1"/>
  <c r="AT81" i="1" s="1"/>
  <c r="Y91" i="1"/>
  <c r="AT91" i="1" s="1"/>
  <c r="Y110" i="1"/>
  <c r="Y123" i="1"/>
  <c r="AT123" i="1" s="1"/>
  <c r="Y113" i="1"/>
  <c r="Y115" i="1"/>
  <c r="Y86" i="1"/>
  <c r="AT86" i="1" s="1"/>
  <c r="Y117" i="1"/>
  <c r="Y111" i="1"/>
  <c r="Y118" i="1"/>
  <c r="Y120" i="1"/>
  <c r="AT120" i="1" s="1"/>
  <c r="BN36" i="1"/>
  <c r="BZ36" i="1" s="1"/>
  <c r="BN41" i="1"/>
  <c r="BZ41" i="1" s="1"/>
  <c r="AT41" i="1"/>
  <c r="Y41" i="1"/>
  <c r="AS41" i="1"/>
  <c r="X41" i="1"/>
  <c r="Y36" i="1"/>
  <c r="AT36" i="1" s="1"/>
  <c r="Y96" i="1"/>
  <c r="AT96" i="1" s="1"/>
  <c r="X36" i="1"/>
  <c r="AS36" i="1" s="1"/>
  <c r="X96" i="1"/>
  <c r="AS96" i="1" s="1"/>
  <c r="BN10" i="1"/>
  <c r="BZ10" i="1" s="1"/>
  <c r="BN24" i="1"/>
  <c r="BZ24" i="1" s="1"/>
  <c r="BN23" i="1"/>
  <c r="BZ23" i="1" s="1"/>
  <c r="BN21" i="1"/>
  <c r="BZ21" i="1" s="1"/>
  <c r="BN22" i="1"/>
  <c r="BZ22" i="1" s="1"/>
  <c r="AT23" i="1"/>
  <c r="Y23" i="1"/>
  <c r="Y10" i="1"/>
  <c r="AT21" i="1"/>
  <c r="Y22" i="1"/>
  <c r="AT10" i="1"/>
  <c r="AT22" i="1"/>
  <c r="Y24" i="1"/>
  <c r="AT24" i="1" s="1"/>
  <c r="Y21" i="1"/>
  <c r="Y97" i="1"/>
  <c r="AT97" i="1" s="1"/>
  <c r="Y62" i="1"/>
  <c r="Y61" i="1"/>
  <c r="Y60" i="1"/>
  <c r="AT60" i="1" s="1"/>
  <c r="Y99" i="1"/>
  <c r="AT99" i="1" s="1"/>
  <c r="AT62" i="1"/>
  <c r="AT61" i="1"/>
  <c r="Y98" i="1"/>
  <c r="AT98" i="1" s="1"/>
  <c r="Y34" i="1"/>
  <c r="AT34" i="1" s="1"/>
  <c r="BN55" i="1"/>
  <c r="BZ55" i="1" s="1"/>
  <c r="BN4" i="1"/>
  <c r="BZ4" i="1" s="1"/>
  <c r="Y87" i="1"/>
  <c r="AT87" i="1" s="1"/>
  <c r="AT4" i="1"/>
  <c r="Y90" i="1"/>
  <c r="AT90" i="1" s="1"/>
  <c r="Y4" i="1"/>
  <c r="Y82" i="1"/>
  <c r="AT82" i="1" s="1"/>
  <c r="Y65" i="1"/>
  <c r="AT65" i="1" s="1"/>
  <c r="Y63" i="1"/>
  <c r="AT63" i="1" s="1"/>
  <c r="Y68" i="1"/>
  <c r="AT68" i="1" s="1"/>
  <c r="Y67" i="1"/>
  <c r="AT67" i="1" s="1"/>
  <c r="Y66" i="1"/>
  <c r="AT66" i="1" s="1"/>
  <c r="Y64" i="1"/>
  <c r="AT64" i="1" s="1"/>
  <c r="Y58" i="1"/>
  <c r="AT58" i="1" s="1"/>
  <c r="AT6" i="1"/>
  <c r="AT15" i="1"/>
  <c r="AT19" i="1"/>
  <c r="AT7" i="1"/>
  <c r="AT12" i="1"/>
  <c r="AT16" i="1"/>
  <c r="AT9" i="1"/>
  <c r="AT18" i="1"/>
  <c r="AT8" i="1"/>
  <c r="AT17" i="1"/>
  <c r="AT26" i="1"/>
  <c r="AT30" i="1"/>
  <c r="AT13" i="1"/>
  <c r="AT33" i="1"/>
  <c r="AT44" i="1"/>
  <c r="AT14" i="1"/>
  <c r="AT32" i="1"/>
  <c r="AT45" i="1"/>
  <c r="AT47" i="1"/>
  <c r="AT89" i="1"/>
  <c r="AT31" i="1"/>
  <c r="AT27" i="1"/>
  <c r="AT28" i="1"/>
  <c r="AT29" i="1"/>
  <c r="AT46" i="1"/>
  <c r="AT75" i="1"/>
  <c r="AT40" i="1"/>
  <c r="AT5" i="1"/>
  <c r="AT25" i="1"/>
  <c r="AT43" i="1"/>
  <c r="AT76" i="1"/>
  <c r="AT93" i="1"/>
  <c r="AT37" i="1"/>
  <c r="AT38" i="1"/>
  <c r="AT39" i="1"/>
  <c r="AT95" i="1"/>
  <c r="AT88" i="1"/>
  <c r="AT94" i="1"/>
  <c r="AT3" i="1"/>
  <c r="Y70" i="1"/>
  <c r="AT70" i="1" s="1"/>
  <c r="Y69" i="1"/>
  <c r="AT69" i="1" s="1"/>
  <c r="Y77" i="1"/>
  <c r="AT77" i="1" s="1"/>
  <c r="Y72" i="1"/>
  <c r="AT72" i="1" s="1"/>
  <c r="Y75" i="1"/>
  <c r="Y79" i="1"/>
  <c r="AT79" i="1" s="1"/>
  <c r="Y59" i="1"/>
  <c r="AT59" i="1" s="1"/>
  <c r="Y73" i="1"/>
  <c r="AT73" i="1" s="1"/>
  <c r="Y76" i="1"/>
  <c r="Y88" i="1"/>
  <c r="Y84" i="1"/>
  <c r="AT84" i="1" s="1"/>
  <c r="Y71" i="1"/>
  <c r="AT71" i="1" s="1"/>
  <c r="Y74" i="1"/>
  <c r="AT74" i="1" s="1"/>
  <c r="Y78" i="1"/>
  <c r="AT78" i="1" s="1"/>
  <c r="Y92" i="1"/>
  <c r="AT92" i="1" s="1"/>
  <c r="Y93" i="1"/>
  <c r="Y80" i="1"/>
  <c r="AT80" i="1" s="1"/>
  <c r="Y83" i="1"/>
  <c r="AT83" i="1" s="1"/>
  <c r="Y94" i="1"/>
  <c r="Y89" i="1"/>
  <c r="Y85" i="1"/>
  <c r="AT85" i="1" s="1"/>
  <c r="Y95" i="1"/>
  <c r="Y8" i="1"/>
  <c r="Y13" i="1"/>
  <c r="Y5" i="1"/>
  <c r="Y9" i="1"/>
  <c r="Y14" i="1"/>
  <c r="Y18" i="1"/>
  <c r="Y32" i="1"/>
  <c r="Y27" i="1"/>
  <c r="Y43" i="1"/>
  <c r="Y47" i="1"/>
  <c r="Y51" i="1"/>
  <c r="AT51" i="1" s="1"/>
  <c r="Y6" i="1"/>
  <c r="Y7" i="1"/>
  <c r="Y11" i="1"/>
  <c r="AT11" i="1" s="1"/>
  <c r="Y12" i="1"/>
  <c r="Y15" i="1"/>
  <c r="Y19" i="1"/>
  <c r="Y33" i="1"/>
  <c r="Y28" i="1"/>
  <c r="Y44" i="1"/>
  <c r="Y48" i="1"/>
  <c r="AT48" i="1" s="1"/>
  <c r="Y52" i="1"/>
  <c r="AT52" i="1" s="1"/>
  <c r="Y54" i="1"/>
  <c r="AT54" i="1" s="1"/>
  <c r="Y35" i="1"/>
  <c r="AT35" i="1" s="1"/>
  <c r="Y40" i="1"/>
  <c r="Y17" i="1"/>
  <c r="Y31" i="1"/>
  <c r="Y25" i="1"/>
  <c r="Y55" i="1"/>
  <c r="AT55" i="1" s="1"/>
  <c r="Y37" i="1"/>
  <c r="Y16" i="1"/>
  <c r="Y20" i="1"/>
  <c r="AT20" i="1" s="1"/>
  <c r="Y26" i="1"/>
  <c r="Y30" i="1"/>
  <c r="Y46" i="1"/>
  <c r="Y50" i="1"/>
  <c r="AT50" i="1" s="1"/>
  <c r="Y56" i="1"/>
  <c r="AT56" i="1" s="1"/>
  <c r="Y57" i="1"/>
  <c r="AT57" i="1" s="1"/>
  <c r="Y38" i="1"/>
  <c r="Y39" i="1"/>
  <c r="Y42" i="1"/>
  <c r="AT42" i="1" s="1"/>
  <c r="Y29" i="1"/>
  <c r="Y45" i="1"/>
  <c r="Y49" i="1"/>
  <c r="AT49" i="1" s="1"/>
  <c r="Y53" i="1"/>
  <c r="AT53" i="1" s="1"/>
  <c r="Y3" i="1"/>
  <c r="Z2" i="1"/>
  <c r="BN50" i="1"/>
  <c r="BZ50" i="1" s="1"/>
  <c r="BN48" i="1"/>
  <c r="BZ48" i="1" s="1"/>
  <c r="BN49" i="1"/>
  <c r="BZ49" i="1" s="1"/>
  <c r="BN42" i="1"/>
  <c r="BZ42" i="1" s="1"/>
  <c r="BN35" i="1"/>
  <c r="BZ35" i="1" s="1"/>
  <c r="BO2" i="1"/>
  <c r="BN11" i="1"/>
  <c r="BZ11" i="1" s="1"/>
  <c r="BN12" i="1"/>
  <c r="BZ12" i="1" s="1"/>
  <c r="BN13" i="1"/>
  <c r="BZ13" i="1" s="1"/>
  <c r="BN14" i="1"/>
  <c r="BZ14" i="1" s="1"/>
  <c r="BN15" i="1"/>
  <c r="BZ15" i="1" s="1"/>
  <c r="BN16" i="1"/>
  <c r="BZ16" i="1" s="1"/>
  <c r="BN17" i="1"/>
  <c r="BZ17" i="1" s="1"/>
  <c r="BN18" i="1"/>
  <c r="BZ18" i="1" s="1"/>
  <c r="BN19" i="1"/>
  <c r="BZ19" i="1" s="1"/>
  <c r="BN25" i="1"/>
  <c r="BZ25" i="1" s="1"/>
  <c r="BN27" i="1"/>
  <c r="BZ27" i="1" s="1"/>
  <c r="BN29" i="1"/>
  <c r="BZ29" i="1" s="1"/>
  <c r="BN43" i="1"/>
  <c r="BZ43" i="1" s="1"/>
  <c r="BN46" i="1"/>
  <c r="BZ46" i="1" s="1"/>
  <c r="BN47" i="1"/>
  <c r="BZ47" i="1" s="1"/>
  <c r="BN52" i="1"/>
  <c r="BZ52" i="1" s="1"/>
  <c r="BN54" i="1"/>
  <c r="BZ54" i="1" s="1"/>
  <c r="BN37" i="1"/>
  <c r="BZ37" i="1" s="1"/>
  <c r="BN38" i="1"/>
  <c r="BZ38" i="1" s="1"/>
  <c r="BN39" i="1"/>
  <c r="BZ39" i="1" s="1"/>
  <c r="BN40" i="1"/>
  <c r="BZ40" i="1" s="1"/>
  <c r="BN5" i="1"/>
  <c r="BZ5" i="1" s="1"/>
  <c r="BN6" i="1"/>
  <c r="BZ6" i="1" s="1"/>
  <c r="BN7" i="1"/>
  <c r="BZ7" i="1" s="1"/>
  <c r="BN8" i="1"/>
  <c r="BZ8" i="1" s="1"/>
  <c r="BN9" i="1"/>
  <c r="BZ9" i="1" s="1"/>
  <c r="BN20" i="1"/>
  <c r="BZ20" i="1" s="1"/>
  <c r="BN26" i="1"/>
  <c r="BZ26" i="1" s="1"/>
  <c r="BN28" i="1"/>
  <c r="BZ28" i="1" s="1"/>
  <c r="BN30" i="1"/>
  <c r="BZ30" i="1" s="1"/>
  <c r="BN45" i="1"/>
  <c r="BZ45" i="1" s="1"/>
  <c r="BN51" i="1"/>
  <c r="BZ51" i="1" s="1"/>
  <c r="BN53" i="1"/>
  <c r="BZ53" i="1" s="1"/>
  <c r="BN56" i="1"/>
  <c r="BZ56" i="1" s="1"/>
  <c r="BN3" i="1"/>
  <c r="BZ3" i="1" s="1"/>
  <c r="AU104" i="1" l="1"/>
  <c r="AU100" i="1"/>
  <c r="AU105" i="1"/>
  <c r="Z104" i="1"/>
  <c r="AU102" i="1"/>
  <c r="Z102" i="1"/>
  <c r="AU101" i="1"/>
  <c r="Z101" i="1"/>
  <c r="Z100" i="1"/>
  <c r="Z103" i="1"/>
  <c r="Z105" i="1"/>
  <c r="AU103" i="1"/>
  <c r="AU119" i="1"/>
  <c r="Z121" i="1"/>
  <c r="AU121" i="1" s="1"/>
  <c r="AU118" i="1"/>
  <c r="AU116" i="1"/>
  <c r="AU113" i="1"/>
  <c r="AU109" i="1"/>
  <c r="AU117" i="1"/>
  <c r="AU114" i="1"/>
  <c r="AU120" i="1"/>
  <c r="AU115" i="1"/>
  <c r="AU112" i="1"/>
  <c r="AU111" i="1"/>
  <c r="AU110" i="1"/>
  <c r="AU108" i="1"/>
  <c r="AU107" i="1"/>
  <c r="Z115" i="1"/>
  <c r="Z122" i="1"/>
  <c r="AU122" i="1" s="1"/>
  <c r="Z123" i="1"/>
  <c r="AU123" i="1" s="1"/>
  <c r="Z112" i="1"/>
  <c r="Z111" i="1"/>
  <c r="Z107" i="1"/>
  <c r="Z91" i="1"/>
  <c r="AU91" i="1" s="1"/>
  <c r="Z86" i="1"/>
  <c r="AU86" i="1" s="1"/>
  <c r="Z113" i="1"/>
  <c r="Z119" i="1"/>
  <c r="Z116" i="1"/>
  <c r="Z114" i="1"/>
  <c r="Z110" i="1"/>
  <c r="Z106" i="1"/>
  <c r="AU106" i="1" s="1"/>
  <c r="Z118" i="1"/>
  <c r="Z117" i="1"/>
  <c r="Z81" i="1"/>
  <c r="AU81" i="1" s="1"/>
  <c r="Z120" i="1"/>
  <c r="Z108" i="1"/>
  <c r="Z109" i="1"/>
  <c r="BO36" i="1"/>
  <c r="CA36" i="1" s="1"/>
  <c r="BO41" i="1"/>
  <c r="CA41" i="1" s="1"/>
  <c r="Z41" i="1"/>
  <c r="AU41" i="1"/>
  <c r="Z96" i="1"/>
  <c r="AU96" i="1" s="1"/>
  <c r="Z36" i="1"/>
  <c r="AU36" i="1" s="1"/>
  <c r="BO23" i="1"/>
  <c r="CA23" i="1" s="1"/>
  <c r="BO21" i="1"/>
  <c r="CA21" i="1" s="1"/>
  <c r="BO22" i="1"/>
  <c r="CA22" i="1" s="1"/>
  <c r="BO10" i="1"/>
  <c r="CA10" i="1" s="1"/>
  <c r="BO24" i="1"/>
  <c r="CA24" i="1" s="1"/>
  <c r="AU23" i="1"/>
  <c r="Z23" i="1"/>
  <c r="Z10" i="1"/>
  <c r="AU21" i="1"/>
  <c r="Z22" i="1"/>
  <c r="AU10" i="1"/>
  <c r="AU22" i="1"/>
  <c r="Z24" i="1"/>
  <c r="Z21" i="1"/>
  <c r="AU24" i="1"/>
  <c r="Z99" i="1"/>
  <c r="AU99" i="1" s="1"/>
  <c r="Z98" i="1"/>
  <c r="AU98" i="1" s="1"/>
  <c r="Z97" i="1"/>
  <c r="AU97" i="1" s="1"/>
  <c r="Z62" i="1"/>
  <c r="AU62" i="1" s="1"/>
  <c r="Z61" i="1"/>
  <c r="AU61" i="1" s="1"/>
  <c r="Z60" i="1"/>
  <c r="AU60" i="1" s="1"/>
  <c r="Z34" i="1"/>
  <c r="AU34" i="1" s="1"/>
  <c r="Z87" i="1"/>
  <c r="AU87" i="1" s="1"/>
  <c r="AU4" i="1"/>
  <c r="Z90" i="1"/>
  <c r="AU90" i="1" s="1"/>
  <c r="Z4" i="1"/>
  <c r="BO55" i="1"/>
  <c r="CA55" i="1" s="1"/>
  <c r="BO4" i="1"/>
  <c r="CA4" i="1" s="1"/>
  <c r="Z82" i="1"/>
  <c r="AU82" i="1" s="1"/>
  <c r="Z68" i="1"/>
  <c r="AU68" i="1" s="1"/>
  <c r="Z67" i="1"/>
  <c r="AU67" i="1" s="1"/>
  <c r="Z66" i="1"/>
  <c r="AU66" i="1" s="1"/>
  <c r="Z65" i="1"/>
  <c r="AU65" i="1" s="1"/>
  <c r="Z63" i="1"/>
  <c r="AU63" i="1" s="1"/>
  <c r="Z64" i="1"/>
  <c r="AU64" i="1" s="1"/>
  <c r="Z58" i="1"/>
  <c r="AU58" i="1" s="1"/>
  <c r="AU5" i="1"/>
  <c r="AU9" i="1"/>
  <c r="AU14" i="1"/>
  <c r="AU18" i="1"/>
  <c r="AU6" i="1"/>
  <c r="AU11" i="1"/>
  <c r="AU15" i="1"/>
  <c r="AU19" i="1"/>
  <c r="AU13" i="1"/>
  <c r="AU31" i="1"/>
  <c r="AU33" i="1"/>
  <c r="AU12" i="1"/>
  <c r="AU20" i="1"/>
  <c r="AU25" i="1"/>
  <c r="AU29" i="1"/>
  <c r="AU16" i="1"/>
  <c r="AU43" i="1"/>
  <c r="AU47" i="1"/>
  <c r="AU17" i="1"/>
  <c r="AU44" i="1"/>
  <c r="AU77" i="1"/>
  <c r="AU88" i="1"/>
  <c r="AU32" i="1"/>
  <c r="AU30" i="1"/>
  <c r="AU89" i="1"/>
  <c r="AU7" i="1"/>
  <c r="AU45" i="1"/>
  <c r="AU95" i="1"/>
  <c r="AU39" i="1"/>
  <c r="AU8" i="1"/>
  <c r="AU26" i="1"/>
  <c r="AU27" i="1"/>
  <c r="AU28" i="1"/>
  <c r="AU46" i="1"/>
  <c r="AU40" i="1"/>
  <c r="AU76" i="1"/>
  <c r="AU93" i="1"/>
  <c r="AU75" i="1"/>
  <c r="AU94" i="1"/>
  <c r="AU38" i="1"/>
  <c r="AU37" i="1"/>
  <c r="AU3" i="1"/>
  <c r="Z59" i="1"/>
  <c r="AU59" i="1" s="1"/>
  <c r="Z73" i="1"/>
  <c r="AU73" i="1" s="1"/>
  <c r="Z76" i="1"/>
  <c r="Z71" i="1"/>
  <c r="AU71" i="1" s="1"/>
  <c r="Z74" i="1"/>
  <c r="AU74" i="1" s="1"/>
  <c r="Z78" i="1"/>
  <c r="AU78" i="1" s="1"/>
  <c r="Z80" i="1"/>
  <c r="AU80" i="1" s="1"/>
  <c r="Z83" i="1"/>
  <c r="AU83" i="1" s="1"/>
  <c r="Z94" i="1"/>
  <c r="Z89" i="1"/>
  <c r="Z85" i="1"/>
  <c r="AU85" i="1" s="1"/>
  <c r="Z70" i="1"/>
  <c r="AU70" i="1" s="1"/>
  <c r="Z72" i="1"/>
  <c r="AU72" i="1" s="1"/>
  <c r="Z69" i="1"/>
  <c r="AU69" i="1" s="1"/>
  <c r="Z75" i="1"/>
  <c r="Z77" i="1"/>
  <c r="Z79" i="1"/>
  <c r="AU79" i="1" s="1"/>
  <c r="Z95" i="1"/>
  <c r="Z92" i="1"/>
  <c r="AU92" i="1" s="1"/>
  <c r="Z93" i="1"/>
  <c r="Z88" i="1"/>
  <c r="Z84" i="1"/>
  <c r="AU84" i="1" s="1"/>
  <c r="Z7" i="1"/>
  <c r="Z12" i="1"/>
  <c r="Z8" i="1"/>
  <c r="Z13" i="1"/>
  <c r="Z17" i="1"/>
  <c r="Z31" i="1"/>
  <c r="Z26" i="1"/>
  <c r="Z30" i="1"/>
  <c r="Z46" i="1"/>
  <c r="Z50" i="1"/>
  <c r="AU50" i="1" s="1"/>
  <c r="Z18" i="1"/>
  <c r="Z32" i="1"/>
  <c r="Z27" i="1"/>
  <c r="Z43" i="1"/>
  <c r="Z47" i="1"/>
  <c r="Z51" i="1"/>
  <c r="AU51" i="1" s="1"/>
  <c r="Z16" i="1"/>
  <c r="Z20" i="1"/>
  <c r="Z6" i="1"/>
  <c r="Z11" i="1"/>
  <c r="Z15" i="1"/>
  <c r="Z19" i="1"/>
  <c r="Z33" i="1"/>
  <c r="Z28" i="1"/>
  <c r="Z44" i="1"/>
  <c r="Z48" i="1"/>
  <c r="AU48" i="1" s="1"/>
  <c r="Z52" i="1"/>
  <c r="AU52" i="1" s="1"/>
  <c r="Z57" i="1"/>
  <c r="AU57" i="1" s="1"/>
  <c r="Z39" i="1"/>
  <c r="Z9" i="1"/>
  <c r="Z54" i="1"/>
  <c r="AU54" i="1" s="1"/>
  <c r="Z35" i="1"/>
  <c r="AU35" i="1" s="1"/>
  <c r="Z40" i="1"/>
  <c r="Z5" i="1"/>
  <c r="Z14" i="1"/>
  <c r="Z25" i="1"/>
  <c r="Z56" i="1"/>
  <c r="AU56" i="1" s="1"/>
  <c r="Z38" i="1"/>
  <c r="Z42" i="1"/>
  <c r="AU42" i="1" s="1"/>
  <c r="Z29" i="1"/>
  <c r="Z45" i="1"/>
  <c r="Z49" i="1"/>
  <c r="AU49" i="1" s="1"/>
  <c r="Z55" i="1"/>
  <c r="AU55" i="1" s="1"/>
  <c r="Z37" i="1"/>
  <c r="Z53" i="1"/>
  <c r="AU53" i="1" s="1"/>
  <c r="Z3" i="1"/>
  <c r="AA2" i="1"/>
  <c r="BO50" i="1"/>
  <c r="CA50" i="1" s="1"/>
  <c r="BO48" i="1"/>
  <c r="CA48" i="1" s="1"/>
  <c r="BO49" i="1"/>
  <c r="CA49" i="1" s="1"/>
  <c r="BO42" i="1"/>
  <c r="CA42" i="1" s="1"/>
  <c r="BO35" i="1"/>
  <c r="CA35" i="1" s="1"/>
  <c r="BO3" i="1"/>
  <c r="CA3" i="1" s="1"/>
  <c r="BO38" i="1"/>
  <c r="CA38" i="1" s="1"/>
  <c r="BO39" i="1"/>
  <c r="CA39" i="1" s="1"/>
  <c r="BO40" i="1"/>
  <c r="CA40" i="1" s="1"/>
  <c r="BO5" i="1"/>
  <c r="CA5" i="1" s="1"/>
  <c r="BO6" i="1"/>
  <c r="CA6" i="1" s="1"/>
  <c r="BO7" i="1"/>
  <c r="CA7" i="1" s="1"/>
  <c r="BO8" i="1"/>
  <c r="CA8" i="1" s="1"/>
  <c r="BO9" i="1"/>
  <c r="CA9" i="1" s="1"/>
  <c r="BO11" i="1"/>
  <c r="CA11" i="1" s="1"/>
  <c r="BO12" i="1"/>
  <c r="CA12" i="1" s="1"/>
  <c r="BO13" i="1"/>
  <c r="CA13" i="1" s="1"/>
  <c r="BO14" i="1"/>
  <c r="CA14" i="1" s="1"/>
  <c r="BO15" i="1"/>
  <c r="CA15" i="1" s="1"/>
  <c r="BO16" i="1"/>
  <c r="CA16" i="1" s="1"/>
  <c r="BO17" i="1"/>
  <c r="CA17" i="1" s="1"/>
  <c r="BO18" i="1"/>
  <c r="CA18" i="1" s="1"/>
  <c r="BO19" i="1"/>
  <c r="CA19" i="1" s="1"/>
  <c r="BO25" i="1"/>
  <c r="CA25" i="1" s="1"/>
  <c r="BO27" i="1"/>
  <c r="CA27" i="1" s="1"/>
  <c r="BO29" i="1"/>
  <c r="CA29" i="1" s="1"/>
  <c r="BO43" i="1"/>
  <c r="CA43" i="1" s="1"/>
  <c r="BO46" i="1"/>
  <c r="CA46" i="1" s="1"/>
  <c r="BO47" i="1"/>
  <c r="CA47" i="1" s="1"/>
  <c r="BO52" i="1"/>
  <c r="CA52" i="1" s="1"/>
  <c r="BO54" i="1"/>
  <c r="CA54" i="1" s="1"/>
  <c r="BO20" i="1"/>
  <c r="CA20" i="1" s="1"/>
  <c r="BO26" i="1"/>
  <c r="CA26" i="1" s="1"/>
  <c r="BO28" i="1"/>
  <c r="CA28" i="1" s="1"/>
  <c r="BO30" i="1"/>
  <c r="CA30" i="1" s="1"/>
  <c r="BO45" i="1"/>
  <c r="CA45" i="1" s="1"/>
  <c r="BO51" i="1"/>
  <c r="CA51" i="1" s="1"/>
  <c r="BO53" i="1"/>
  <c r="CA53" i="1" s="1"/>
  <c r="BO56" i="1"/>
  <c r="CA56" i="1" s="1"/>
  <c r="BO37" i="1"/>
  <c r="CA37" i="1" s="1"/>
  <c r="AA100" i="1" l="1"/>
  <c r="AV105" i="1"/>
  <c r="AA104" i="1"/>
  <c r="AA103" i="1"/>
  <c r="AV102" i="1"/>
  <c r="AA102" i="1"/>
  <c r="AV101" i="1"/>
  <c r="AA101" i="1"/>
  <c r="AV100" i="1"/>
  <c r="AV104" i="1"/>
  <c r="AA105" i="1"/>
  <c r="AV103" i="1"/>
  <c r="AV116" i="1"/>
  <c r="AV113" i="1"/>
  <c r="AV109" i="1"/>
  <c r="AV118" i="1"/>
  <c r="AV117" i="1"/>
  <c r="AV114" i="1"/>
  <c r="AV120" i="1"/>
  <c r="AV115" i="1"/>
  <c r="AV112" i="1"/>
  <c r="AV111" i="1"/>
  <c r="AV110" i="1"/>
  <c r="AV107" i="1"/>
  <c r="AV119" i="1"/>
  <c r="AV121" i="1"/>
  <c r="AV108" i="1"/>
  <c r="AV106" i="1"/>
  <c r="AA106" i="1"/>
  <c r="AA122" i="1"/>
  <c r="AV122" i="1" s="1"/>
  <c r="AA115" i="1"/>
  <c r="AA108" i="1"/>
  <c r="AA86" i="1"/>
  <c r="AV86" i="1" s="1"/>
  <c r="AA120" i="1"/>
  <c r="AA118" i="1"/>
  <c r="AA112" i="1"/>
  <c r="AA113" i="1"/>
  <c r="AA109" i="1"/>
  <c r="AA111" i="1"/>
  <c r="AA121" i="1"/>
  <c r="AA116" i="1"/>
  <c r="AA81" i="1"/>
  <c r="AV81" i="1" s="1"/>
  <c r="AA123" i="1"/>
  <c r="AV123" i="1" s="1"/>
  <c r="AA114" i="1"/>
  <c r="AA119" i="1"/>
  <c r="AA91" i="1"/>
  <c r="AV91" i="1" s="1"/>
  <c r="AA107" i="1"/>
  <c r="AA117" i="1"/>
  <c r="AA110" i="1"/>
  <c r="AV41" i="1"/>
  <c r="AA41" i="1"/>
  <c r="AV96" i="1"/>
  <c r="AA96" i="1"/>
  <c r="AA36" i="1"/>
  <c r="AV36" i="1" s="1"/>
  <c r="AA22" i="1"/>
  <c r="AV10" i="1"/>
  <c r="AV22" i="1"/>
  <c r="AA24" i="1"/>
  <c r="AA21" i="1"/>
  <c r="AV24" i="1"/>
  <c r="AV23" i="1"/>
  <c r="AA23" i="1"/>
  <c r="AA10" i="1"/>
  <c r="AV21" i="1"/>
  <c r="AA97" i="1"/>
  <c r="AV97" i="1" s="1"/>
  <c r="AA62" i="1"/>
  <c r="AV62" i="1" s="1"/>
  <c r="AA61" i="1"/>
  <c r="AV61" i="1" s="1"/>
  <c r="AA60" i="1"/>
  <c r="AV60" i="1" s="1"/>
  <c r="AA99" i="1"/>
  <c r="AV99" i="1" s="1"/>
  <c r="AA98" i="1"/>
  <c r="AV98" i="1" s="1"/>
  <c r="AA34" i="1"/>
  <c r="AV34" i="1"/>
  <c r="AV4" i="1"/>
  <c r="AA90" i="1"/>
  <c r="AV90" i="1" s="1"/>
  <c r="AA87" i="1"/>
  <c r="AV87" i="1" s="1"/>
  <c r="AA4" i="1"/>
  <c r="AA82" i="1"/>
  <c r="AV82" i="1" s="1"/>
  <c r="AA65" i="1"/>
  <c r="AV65" i="1" s="1"/>
  <c r="AA64" i="1"/>
  <c r="AV64" i="1" s="1"/>
  <c r="AA63" i="1"/>
  <c r="AV63" i="1" s="1"/>
  <c r="AA68" i="1"/>
  <c r="AV68" i="1" s="1"/>
  <c r="AA67" i="1"/>
  <c r="AV67" i="1" s="1"/>
  <c r="AA66" i="1"/>
  <c r="AV66" i="1" s="1"/>
  <c r="AA58" i="1"/>
  <c r="AV58" i="1" s="1"/>
  <c r="AV8" i="1"/>
  <c r="AV13" i="1"/>
  <c r="AV17" i="1"/>
  <c r="AV31" i="1"/>
  <c r="AV5" i="1"/>
  <c r="AV9" i="1"/>
  <c r="AV14" i="1"/>
  <c r="AV18" i="1"/>
  <c r="AV7" i="1"/>
  <c r="AV16" i="1"/>
  <c r="AV32" i="1"/>
  <c r="AV6" i="1"/>
  <c r="AV15" i="1"/>
  <c r="AV33" i="1"/>
  <c r="AV28" i="1"/>
  <c r="AV19" i="1"/>
  <c r="AV25" i="1"/>
  <c r="AV26" i="1"/>
  <c r="AV27" i="1"/>
  <c r="AV46" i="1"/>
  <c r="AV20" i="1"/>
  <c r="AV43" i="1"/>
  <c r="AV47" i="1"/>
  <c r="AV45" i="1"/>
  <c r="AV50" i="1"/>
  <c r="AV76" i="1"/>
  <c r="AV44" i="1"/>
  <c r="AV51" i="1"/>
  <c r="AV77" i="1"/>
  <c r="AV88" i="1"/>
  <c r="AV11" i="1"/>
  <c r="AV48" i="1"/>
  <c r="AV75" i="1"/>
  <c r="AV94" i="1"/>
  <c r="AV38" i="1"/>
  <c r="AV3" i="1"/>
  <c r="AV12" i="1"/>
  <c r="AV29" i="1"/>
  <c r="AV30" i="1"/>
  <c r="AV49" i="1"/>
  <c r="AV89" i="1"/>
  <c r="AV95" i="1"/>
  <c r="AV39" i="1"/>
  <c r="AV53" i="1"/>
  <c r="AV37" i="1"/>
  <c r="AV93" i="1"/>
  <c r="AV52" i="1"/>
  <c r="AV40" i="1"/>
  <c r="AA72" i="1"/>
  <c r="AV72" i="1" s="1"/>
  <c r="AA75" i="1"/>
  <c r="AA79" i="1"/>
  <c r="AV79" i="1" s="1"/>
  <c r="AA70" i="1"/>
  <c r="AV70" i="1" s="1"/>
  <c r="AA69" i="1"/>
  <c r="AV69" i="1" s="1"/>
  <c r="AA77" i="1"/>
  <c r="AA92" i="1"/>
  <c r="AV92" i="1" s="1"/>
  <c r="AA93" i="1"/>
  <c r="AA88" i="1"/>
  <c r="AA84" i="1"/>
  <c r="AV84" i="1" s="1"/>
  <c r="AA95" i="1"/>
  <c r="AA80" i="1"/>
  <c r="AV80" i="1" s="1"/>
  <c r="AA83" i="1"/>
  <c r="AV83" i="1" s="1"/>
  <c r="AA94" i="1"/>
  <c r="AA59" i="1"/>
  <c r="AV59" i="1" s="1"/>
  <c r="AA71" i="1"/>
  <c r="AV71" i="1" s="1"/>
  <c r="AA73" i="1"/>
  <c r="AV73" i="1" s="1"/>
  <c r="AA74" i="1"/>
  <c r="AV74" i="1" s="1"/>
  <c r="AA76" i="1"/>
  <c r="AA78" i="1"/>
  <c r="AV78" i="1" s="1"/>
  <c r="AA89" i="1"/>
  <c r="AA85" i="1"/>
  <c r="AV85" i="1" s="1"/>
  <c r="AA6" i="1"/>
  <c r="AA11" i="1"/>
  <c r="AA7" i="1"/>
  <c r="AA12" i="1"/>
  <c r="AA5" i="1"/>
  <c r="AA9" i="1"/>
  <c r="AA14" i="1"/>
  <c r="AA16" i="1"/>
  <c r="AA20" i="1"/>
  <c r="AA25" i="1"/>
  <c r="AA29" i="1"/>
  <c r="AA45" i="1"/>
  <c r="AA49" i="1"/>
  <c r="AA53" i="1"/>
  <c r="AA8" i="1"/>
  <c r="AA13" i="1"/>
  <c r="AA17" i="1"/>
  <c r="AA31" i="1"/>
  <c r="AA26" i="1"/>
  <c r="AA30" i="1"/>
  <c r="AA46" i="1"/>
  <c r="AA50" i="1"/>
  <c r="AA56" i="1"/>
  <c r="AV56" i="1" s="1"/>
  <c r="AA38" i="1"/>
  <c r="AA42" i="1"/>
  <c r="AV42" i="1" s="1"/>
  <c r="AA3" i="1"/>
  <c r="AA27" i="1"/>
  <c r="AA15" i="1"/>
  <c r="AA19" i="1"/>
  <c r="AA33" i="1"/>
  <c r="AA28" i="1"/>
  <c r="AA44" i="1"/>
  <c r="AA48" i="1"/>
  <c r="AA52" i="1"/>
  <c r="AA57" i="1"/>
  <c r="AV57" i="1" s="1"/>
  <c r="AA39" i="1"/>
  <c r="AA18" i="1"/>
  <c r="AA32" i="1"/>
  <c r="AA54" i="1"/>
  <c r="AV54" i="1" s="1"/>
  <c r="AA35" i="1"/>
  <c r="AV35" i="1" s="1"/>
  <c r="AA40" i="1"/>
  <c r="AA55" i="1"/>
  <c r="AV55" i="1" s="1"/>
  <c r="AA43" i="1"/>
  <c r="AA47" i="1"/>
  <c r="AA51" i="1"/>
  <c r="AA37" i="1"/>
  <c r="AB2" i="1"/>
  <c r="AW105" i="1" l="1"/>
  <c r="AB104" i="1"/>
  <c r="AB103" i="1"/>
  <c r="AB102" i="1"/>
  <c r="AB105" i="1"/>
  <c r="AW103" i="1"/>
  <c r="AW102" i="1"/>
  <c r="AW104" i="1"/>
  <c r="AB100" i="1"/>
  <c r="AB101" i="1"/>
  <c r="AW100" i="1"/>
  <c r="AW101" i="1"/>
  <c r="AW118" i="1"/>
  <c r="AW117" i="1"/>
  <c r="AB117" i="1"/>
  <c r="AW114" i="1"/>
  <c r="AW121" i="1"/>
  <c r="AW120" i="1"/>
  <c r="AW115" i="1"/>
  <c r="AW112" i="1"/>
  <c r="AW111" i="1"/>
  <c r="AW110" i="1"/>
  <c r="AW108" i="1"/>
  <c r="AW107" i="1"/>
  <c r="AB106" i="1"/>
  <c r="AW106" i="1" s="1"/>
  <c r="AW119" i="1"/>
  <c r="AW113" i="1"/>
  <c r="AW116" i="1"/>
  <c r="AB110" i="1"/>
  <c r="AW109" i="1"/>
  <c r="AW122" i="1"/>
  <c r="AB113" i="1"/>
  <c r="AB119" i="1"/>
  <c r="AB121" i="1"/>
  <c r="AB111" i="1"/>
  <c r="AB118" i="1"/>
  <c r="AB115" i="1"/>
  <c r="AB112" i="1"/>
  <c r="AB107" i="1"/>
  <c r="AB122" i="1"/>
  <c r="AB91" i="1"/>
  <c r="AW91" i="1" s="1"/>
  <c r="AB109" i="1"/>
  <c r="AB86" i="1"/>
  <c r="AW86" i="1" s="1"/>
  <c r="AB123" i="1"/>
  <c r="AW123" i="1" s="1"/>
  <c r="AB120" i="1"/>
  <c r="AB116" i="1"/>
  <c r="AB108" i="1"/>
  <c r="AB114" i="1"/>
  <c r="AB81" i="1"/>
  <c r="AW81" i="1" s="1"/>
  <c r="AW41" i="1"/>
  <c r="AB41" i="1"/>
  <c r="AB36" i="1"/>
  <c r="AW36" i="1" s="1"/>
  <c r="AW96" i="1"/>
  <c r="AB96" i="1"/>
  <c r="AW10" i="1"/>
  <c r="AW22" i="1"/>
  <c r="AB24" i="1"/>
  <c r="AB21" i="1"/>
  <c r="AW24" i="1"/>
  <c r="AW23" i="1"/>
  <c r="AB23" i="1"/>
  <c r="AB10" i="1"/>
  <c r="AW21" i="1"/>
  <c r="AB22" i="1"/>
  <c r="AB98" i="1"/>
  <c r="AW98" i="1" s="1"/>
  <c r="AB99" i="1"/>
  <c r="AW99" i="1" s="1"/>
  <c r="AB62" i="1"/>
  <c r="AW62" i="1" s="1"/>
  <c r="AB61" i="1"/>
  <c r="AW61" i="1" s="1"/>
  <c r="AB60" i="1"/>
  <c r="AW60" i="1" s="1"/>
  <c r="AB97" i="1"/>
  <c r="AW97" i="1" s="1"/>
  <c r="AW34" i="1"/>
  <c r="AB34" i="1"/>
  <c r="AB4" i="1"/>
  <c r="AW90" i="1"/>
  <c r="AB87" i="1"/>
  <c r="AW87" i="1" s="1"/>
  <c r="AW4" i="1"/>
  <c r="AB90" i="1"/>
  <c r="AB82" i="1"/>
  <c r="AW82" i="1" s="1"/>
  <c r="AB68" i="1"/>
  <c r="AW68" i="1" s="1"/>
  <c r="AB67" i="1"/>
  <c r="AW67" i="1" s="1"/>
  <c r="AB66" i="1"/>
  <c r="AW66" i="1" s="1"/>
  <c r="AB65" i="1"/>
  <c r="AW65" i="1" s="1"/>
  <c r="AB64" i="1"/>
  <c r="AW64" i="1" s="1"/>
  <c r="AB63" i="1"/>
  <c r="AW63" i="1" s="1"/>
  <c r="AB58" i="1"/>
  <c r="AW58" i="1" s="1"/>
  <c r="AW7" i="1"/>
  <c r="AW12" i="1"/>
  <c r="AW16" i="1"/>
  <c r="AW20" i="1"/>
  <c r="AW8" i="1"/>
  <c r="AW13" i="1"/>
  <c r="AW17" i="1"/>
  <c r="AW31" i="1"/>
  <c r="AW11" i="1"/>
  <c r="AW19" i="1"/>
  <c r="AW9" i="1"/>
  <c r="AW18" i="1"/>
  <c r="AW32" i="1"/>
  <c r="AW27" i="1"/>
  <c r="AW5" i="1"/>
  <c r="AW28" i="1"/>
  <c r="AW29" i="1"/>
  <c r="AW30" i="1"/>
  <c r="AW45" i="1"/>
  <c r="AW49" i="1"/>
  <c r="AW6" i="1"/>
  <c r="AW33" i="1"/>
  <c r="AW25" i="1"/>
  <c r="AW26" i="1"/>
  <c r="AW46" i="1"/>
  <c r="AW48" i="1"/>
  <c r="AW53" i="1"/>
  <c r="AW75" i="1"/>
  <c r="AW47" i="1"/>
  <c r="AW50" i="1"/>
  <c r="AW76" i="1"/>
  <c r="AW14" i="1"/>
  <c r="AW52" i="1"/>
  <c r="AW93" i="1"/>
  <c r="AW37" i="1"/>
  <c r="AW43" i="1"/>
  <c r="AW15" i="1"/>
  <c r="AW51" i="1"/>
  <c r="AW77" i="1"/>
  <c r="AW83" i="1"/>
  <c r="AW94" i="1"/>
  <c r="AW38" i="1"/>
  <c r="AW3" i="1"/>
  <c r="AW89" i="1"/>
  <c r="AW39" i="1"/>
  <c r="AW44" i="1"/>
  <c r="AW88" i="1"/>
  <c r="AW40" i="1"/>
  <c r="AW95" i="1"/>
  <c r="AB71" i="1"/>
  <c r="AW71" i="1" s="1"/>
  <c r="AB74" i="1"/>
  <c r="AW74" i="1" s="1"/>
  <c r="AB78" i="1"/>
  <c r="AW78" i="1" s="1"/>
  <c r="AB59" i="1"/>
  <c r="AW59" i="1" s="1"/>
  <c r="AB73" i="1"/>
  <c r="AW73" i="1" s="1"/>
  <c r="AB76" i="1"/>
  <c r="AB70" i="1"/>
  <c r="AW70" i="1" s="1"/>
  <c r="AB69" i="1"/>
  <c r="AW69" i="1" s="1"/>
  <c r="AB77" i="1"/>
  <c r="AB89" i="1"/>
  <c r="AB85" i="1"/>
  <c r="AW85" i="1" s="1"/>
  <c r="AB72" i="1"/>
  <c r="AW72" i="1" s="1"/>
  <c r="AB75" i="1"/>
  <c r="AB79" i="1"/>
  <c r="AW79" i="1" s="1"/>
  <c r="AB80" i="1"/>
  <c r="AW80" i="1" s="1"/>
  <c r="AB83" i="1"/>
  <c r="AB94" i="1"/>
  <c r="AB88" i="1"/>
  <c r="AB84" i="1"/>
  <c r="AW84" i="1" s="1"/>
  <c r="AB95" i="1"/>
  <c r="AB92" i="1"/>
  <c r="AW92" i="1" s="1"/>
  <c r="AB93" i="1"/>
  <c r="AB5" i="1"/>
  <c r="AB9" i="1"/>
  <c r="AB14" i="1"/>
  <c r="AB6" i="1"/>
  <c r="AB11" i="1"/>
  <c r="AB15" i="1"/>
  <c r="AB19" i="1"/>
  <c r="AB33" i="1"/>
  <c r="AB28" i="1"/>
  <c r="AB44" i="1"/>
  <c r="AB48" i="1"/>
  <c r="AB52" i="1"/>
  <c r="AB16" i="1"/>
  <c r="AB20" i="1"/>
  <c r="AB25" i="1"/>
  <c r="AB29" i="1"/>
  <c r="AB45" i="1"/>
  <c r="AB49" i="1"/>
  <c r="AB17" i="1"/>
  <c r="AB18" i="1"/>
  <c r="AB31" i="1"/>
  <c r="AB32" i="1"/>
  <c r="AB8" i="1"/>
  <c r="AB13" i="1"/>
  <c r="AB53" i="1"/>
  <c r="AB55" i="1"/>
  <c r="AW55" i="1" s="1"/>
  <c r="AB37" i="1"/>
  <c r="AB56" i="1"/>
  <c r="AW56" i="1" s="1"/>
  <c r="AB38" i="1"/>
  <c r="AB42" i="1"/>
  <c r="AW42" i="1" s="1"/>
  <c r="AB3" i="1"/>
  <c r="AB7" i="1"/>
  <c r="AB12" i="1"/>
  <c r="AB26" i="1"/>
  <c r="AB27" i="1"/>
  <c r="AB51" i="1"/>
  <c r="AB30" i="1"/>
  <c r="AB46" i="1"/>
  <c r="AB50" i="1"/>
  <c r="AB54" i="1"/>
  <c r="AW54" i="1" s="1"/>
  <c r="AB57" i="1"/>
  <c r="AW57" i="1" s="1"/>
  <c r="AB35" i="1"/>
  <c r="AW35" i="1" s="1"/>
  <c r="AB39" i="1"/>
  <c r="AB40" i="1"/>
  <c r="AB43" i="1"/>
  <c r="AB47" i="1"/>
  <c r="AC2" i="1"/>
  <c r="AC105" i="1" l="1"/>
  <c r="AX103" i="1"/>
  <c r="AX102" i="1"/>
  <c r="AX101" i="1"/>
  <c r="AC101" i="1"/>
  <c r="AX104" i="1"/>
  <c r="AC103" i="1"/>
  <c r="AC102" i="1"/>
  <c r="AX105" i="1"/>
  <c r="AC100" i="1"/>
  <c r="AX100" i="1"/>
  <c r="AC104" i="1"/>
  <c r="AX120" i="1"/>
  <c r="AX115" i="1"/>
  <c r="AX112" i="1"/>
  <c r="AX111" i="1"/>
  <c r="AX110" i="1"/>
  <c r="AX108" i="1"/>
  <c r="AX107" i="1"/>
  <c r="AC107" i="1"/>
  <c r="AX123" i="1"/>
  <c r="AX121" i="1"/>
  <c r="AX119" i="1"/>
  <c r="AC118" i="1"/>
  <c r="AX122" i="1"/>
  <c r="AX116" i="1"/>
  <c r="AX117" i="1"/>
  <c r="AX109" i="1"/>
  <c r="AX114" i="1"/>
  <c r="AX118" i="1"/>
  <c r="AX113" i="1"/>
  <c r="AC122" i="1"/>
  <c r="AC81" i="1"/>
  <c r="AX81" i="1" s="1"/>
  <c r="AC116" i="1"/>
  <c r="AC112" i="1"/>
  <c r="AC109" i="1"/>
  <c r="AC106" i="1"/>
  <c r="AX106" i="1" s="1"/>
  <c r="AC119" i="1"/>
  <c r="AC114" i="1"/>
  <c r="AC108" i="1"/>
  <c r="AC91" i="1"/>
  <c r="AX91" i="1" s="1"/>
  <c r="AC113" i="1"/>
  <c r="AC86" i="1"/>
  <c r="AX86" i="1" s="1"/>
  <c r="AC120" i="1"/>
  <c r="AC110" i="1"/>
  <c r="AC121" i="1"/>
  <c r="AC123" i="1"/>
  <c r="AC111" i="1"/>
  <c r="AC117" i="1"/>
  <c r="AC115" i="1"/>
  <c r="AX41" i="1"/>
  <c r="AC41" i="1"/>
  <c r="AC36" i="1"/>
  <c r="AX36" i="1" s="1"/>
  <c r="AX96" i="1"/>
  <c r="AC96" i="1"/>
  <c r="AX24" i="1"/>
  <c r="AX23" i="1"/>
  <c r="AC23" i="1"/>
  <c r="AC10" i="1"/>
  <c r="AX21" i="1"/>
  <c r="AC22" i="1"/>
  <c r="AX10" i="1"/>
  <c r="AX22" i="1"/>
  <c r="AC24" i="1"/>
  <c r="AC21" i="1"/>
  <c r="AC97" i="1"/>
  <c r="AX97" i="1" s="1"/>
  <c r="AC62" i="1"/>
  <c r="AX62" i="1" s="1"/>
  <c r="AC61" i="1"/>
  <c r="AX61" i="1" s="1"/>
  <c r="AC60" i="1"/>
  <c r="AX60" i="1" s="1"/>
  <c r="AC99" i="1"/>
  <c r="AX99" i="1" s="1"/>
  <c r="AC98" i="1"/>
  <c r="AX98" i="1" s="1"/>
  <c r="AX34" i="1"/>
  <c r="AC34" i="1"/>
  <c r="AX90" i="1"/>
  <c r="AC87" i="1"/>
  <c r="AX87" i="1" s="1"/>
  <c r="AX4" i="1"/>
  <c r="AC90" i="1"/>
  <c r="AC4" i="1"/>
  <c r="AC82" i="1"/>
  <c r="AX82" i="1" s="1"/>
  <c r="AC64" i="1"/>
  <c r="AX64" i="1" s="1"/>
  <c r="AC68" i="1"/>
  <c r="AX68" i="1" s="1"/>
  <c r="AC67" i="1"/>
  <c r="AX67" i="1" s="1"/>
  <c r="AC66" i="1"/>
  <c r="AX66" i="1" s="1"/>
  <c r="AC65" i="1"/>
  <c r="AX65" i="1" s="1"/>
  <c r="AC63" i="1"/>
  <c r="AX63" i="1" s="1"/>
  <c r="AC58" i="1"/>
  <c r="AX58" i="1" s="1"/>
  <c r="AX6" i="1"/>
  <c r="AX11" i="1"/>
  <c r="AX15" i="1"/>
  <c r="AX19" i="1"/>
  <c r="AX7" i="1"/>
  <c r="AX12" i="1"/>
  <c r="AX16" i="1"/>
  <c r="AX20" i="1"/>
  <c r="AX5" i="1"/>
  <c r="AX14" i="1"/>
  <c r="AX13" i="1"/>
  <c r="AX31" i="1"/>
  <c r="AX26" i="1"/>
  <c r="AX30" i="1"/>
  <c r="AX8" i="1"/>
  <c r="AX44" i="1"/>
  <c r="AX48" i="1"/>
  <c r="AX9" i="1"/>
  <c r="AX27" i="1"/>
  <c r="AX28" i="1"/>
  <c r="AX29" i="1"/>
  <c r="AX45" i="1"/>
  <c r="AX49" i="1"/>
  <c r="AX43" i="1"/>
  <c r="AX52" i="1"/>
  <c r="AX78" i="1"/>
  <c r="AX89" i="1"/>
  <c r="AX53" i="1"/>
  <c r="AX75" i="1"/>
  <c r="AX17" i="1"/>
  <c r="AX88" i="1"/>
  <c r="AX40" i="1"/>
  <c r="AX25" i="1"/>
  <c r="AX46" i="1"/>
  <c r="AX18" i="1"/>
  <c r="AX93" i="1"/>
  <c r="AX37" i="1"/>
  <c r="AX33" i="1"/>
  <c r="AX94" i="1"/>
  <c r="AX3" i="1"/>
  <c r="AX50" i="1"/>
  <c r="AX51" i="1"/>
  <c r="AX76" i="1"/>
  <c r="AX39" i="1"/>
  <c r="AX32" i="1"/>
  <c r="AX77" i="1"/>
  <c r="AX83" i="1"/>
  <c r="AX38" i="1"/>
  <c r="AX47" i="1"/>
  <c r="AX95" i="1"/>
  <c r="AC70" i="1"/>
  <c r="AX70" i="1" s="1"/>
  <c r="AC69" i="1"/>
  <c r="AX69" i="1" s="1"/>
  <c r="AC77" i="1"/>
  <c r="AC72" i="1"/>
  <c r="AX72" i="1" s="1"/>
  <c r="AC75" i="1"/>
  <c r="AC79" i="1"/>
  <c r="AX79" i="1" s="1"/>
  <c r="AC71" i="1"/>
  <c r="AX71" i="1" s="1"/>
  <c r="AC74" i="1"/>
  <c r="AX74" i="1" s="1"/>
  <c r="AC78" i="1"/>
  <c r="AC88" i="1"/>
  <c r="AC84" i="1"/>
  <c r="AX84" i="1" s="1"/>
  <c r="AC59" i="1"/>
  <c r="AX59" i="1" s="1"/>
  <c r="AC73" i="1"/>
  <c r="AX73" i="1" s="1"/>
  <c r="AC76" i="1"/>
  <c r="AC92" i="1"/>
  <c r="AX92" i="1" s="1"/>
  <c r="AC93" i="1"/>
  <c r="AC89" i="1"/>
  <c r="AC85" i="1"/>
  <c r="AX85" i="1" s="1"/>
  <c r="AC80" i="1"/>
  <c r="AX80" i="1" s="1"/>
  <c r="AC83" i="1"/>
  <c r="AC94" i="1"/>
  <c r="AC95" i="1"/>
  <c r="AC8" i="1"/>
  <c r="AC13" i="1"/>
  <c r="AC5" i="1"/>
  <c r="AC9" i="1"/>
  <c r="AC14" i="1"/>
  <c r="AC18" i="1"/>
  <c r="AC32" i="1"/>
  <c r="AC27" i="1"/>
  <c r="AC43" i="1"/>
  <c r="AC47" i="1"/>
  <c r="AC51" i="1"/>
  <c r="AC15" i="1"/>
  <c r="AC19" i="1"/>
  <c r="AC33" i="1"/>
  <c r="AC28" i="1"/>
  <c r="AC44" i="1"/>
  <c r="AC48" i="1"/>
  <c r="AC52" i="1"/>
  <c r="AC7" i="1"/>
  <c r="AC12" i="1"/>
  <c r="AC16" i="1"/>
  <c r="AC17" i="1"/>
  <c r="AC20" i="1"/>
  <c r="AC31" i="1"/>
  <c r="AC25" i="1"/>
  <c r="AC26" i="1"/>
  <c r="AC29" i="1"/>
  <c r="AC30" i="1"/>
  <c r="AC45" i="1"/>
  <c r="AC46" i="1"/>
  <c r="AC49" i="1"/>
  <c r="AC50" i="1"/>
  <c r="AC54" i="1"/>
  <c r="AX54" i="1" s="1"/>
  <c r="AC35" i="1"/>
  <c r="AX35" i="1" s="1"/>
  <c r="AC40" i="1"/>
  <c r="AC6" i="1"/>
  <c r="AC11" i="1"/>
  <c r="AC53" i="1"/>
  <c r="AC55" i="1"/>
  <c r="AX55" i="1" s="1"/>
  <c r="AC37" i="1"/>
  <c r="AC3" i="1"/>
  <c r="AC56" i="1"/>
  <c r="AX56" i="1" s="1"/>
  <c r="AC57" i="1"/>
  <c r="AX57" i="1" s="1"/>
  <c r="AC38" i="1"/>
  <c r="AC39" i="1"/>
  <c r="AC42" i="1"/>
  <c r="AX42" i="1" s="1"/>
  <c r="AD2" i="1"/>
  <c r="AY104" i="1" l="1"/>
  <c r="AY100" i="1"/>
  <c r="AD103" i="1"/>
  <c r="AD105" i="1"/>
  <c r="AY103" i="1"/>
  <c r="AY105" i="1"/>
  <c r="AD104" i="1"/>
  <c r="AD102" i="1"/>
  <c r="AY101" i="1"/>
  <c r="AD101" i="1"/>
  <c r="AD100" i="1"/>
  <c r="AY102" i="1"/>
  <c r="AY123" i="1"/>
  <c r="AY121" i="1"/>
  <c r="AY119" i="1"/>
  <c r="AD113" i="1"/>
  <c r="AD121" i="1"/>
  <c r="AY117" i="1"/>
  <c r="AY122" i="1"/>
  <c r="AY116" i="1"/>
  <c r="AY113" i="1"/>
  <c r="AY109" i="1"/>
  <c r="AY118" i="1"/>
  <c r="AY120" i="1"/>
  <c r="AY106" i="1"/>
  <c r="AY115" i="1"/>
  <c r="AY112" i="1"/>
  <c r="AY108" i="1"/>
  <c r="AY107" i="1"/>
  <c r="AY114" i="1"/>
  <c r="AY111" i="1"/>
  <c r="AY110" i="1"/>
  <c r="AD118" i="1"/>
  <c r="AD117" i="1"/>
  <c r="AD109" i="1"/>
  <c r="AD91" i="1"/>
  <c r="AD86" i="1"/>
  <c r="AY86" i="1" s="1"/>
  <c r="AD122" i="1"/>
  <c r="AD123" i="1"/>
  <c r="AD112" i="1"/>
  <c r="AD111" i="1"/>
  <c r="AD107" i="1"/>
  <c r="AD119" i="1"/>
  <c r="AD120" i="1"/>
  <c r="AD116" i="1"/>
  <c r="AD110" i="1"/>
  <c r="AD106" i="1"/>
  <c r="AD114" i="1"/>
  <c r="AY91" i="1"/>
  <c r="AD115" i="1"/>
  <c r="AD108" i="1"/>
  <c r="AD81" i="1"/>
  <c r="AY81" i="1" s="1"/>
  <c r="AD41" i="1"/>
  <c r="AY41" i="1"/>
  <c r="AY96" i="1"/>
  <c r="AD96" i="1"/>
  <c r="AD36" i="1"/>
  <c r="AY36" i="1"/>
  <c r="AY23" i="1"/>
  <c r="AD23" i="1"/>
  <c r="AD10" i="1"/>
  <c r="AY21" i="1"/>
  <c r="AD22" i="1"/>
  <c r="AY10" i="1"/>
  <c r="AY22" i="1"/>
  <c r="AD24" i="1"/>
  <c r="AD21" i="1"/>
  <c r="AY24" i="1"/>
  <c r="AD99" i="1"/>
  <c r="AY99" i="1" s="1"/>
  <c r="AY97" i="1"/>
  <c r="AD98" i="1"/>
  <c r="AY98" i="1" s="1"/>
  <c r="AD97" i="1"/>
  <c r="AD62" i="1"/>
  <c r="AY62" i="1" s="1"/>
  <c r="AD61" i="1"/>
  <c r="AY61" i="1" s="1"/>
  <c r="AD60" i="1"/>
  <c r="AY60" i="1" s="1"/>
  <c r="AY34" i="1"/>
  <c r="AD34" i="1"/>
  <c r="AY90" i="1"/>
  <c r="AD87" i="1"/>
  <c r="AY87" i="1" s="1"/>
  <c r="AY4" i="1"/>
  <c r="AD90" i="1"/>
  <c r="AD4" i="1"/>
  <c r="AD82" i="1"/>
  <c r="AY82" i="1" s="1"/>
  <c r="AD68" i="1"/>
  <c r="AY68" i="1" s="1"/>
  <c r="AD67" i="1"/>
  <c r="AY67" i="1" s="1"/>
  <c r="AD66" i="1"/>
  <c r="AY66" i="1" s="1"/>
  <c r="AD65" i="1"/>
  <c r="AY65" i="1" s="1"/>
  <c r="AD64" i="1"/>
  <c r="AY64" i="1" s="1"/>
  <c r="AD63" i="1"/>
  <c r="AY63" i="1" s="1"/>
  <c r="AD58" i="1"/>
  <c r="AY58" i="1" s="1"/>
  <c r="AY5" i="1"/>
  <c r="AY9" i="1"/>
  <c r="AY14" i="1"/>
  <c r="AY18" i="1"/>
  <c r="AY6" i="1"/>
  <c r="AY11" i="1"/>
  <c r="AY15" i="1"/>
  <c r="AY19" i="1"/>
  <c r="AY8" i="1"/>
  <c r="AY17" i="1"/>
  <c r="AY7" i="1"/>
  <c r="AY16" i="1"/>
  <c r="AY25" i="1"/>
  <c r="AY29" i="1"/>
  <c r="AY12" i="1"/>
  <c r="AY32" i="1"/>
  <c r="AY43" i="1"/>
  <c r="AY47" i="1"/>
  <c r="AY13" i="1"/>
  <c r="AY30" i="1"/>
  <c r="AY44" i="1"/>
  <c r="AY48" i="1"/>
  <c r="AY33" i="1"/>
  <c r="AY46" i="1"/>
  <c r="AY51" i="1"/>
  <c r="AY55" i="1"/>
  <c r="AY77" i="1"/>
  <c r="AY88" i="1"/>
  <c r="AY45" i="1"/>
  <c r="AY52" i="1"/>
  <c r="AY56" i="1"/>
  <c r="AY78" i="1"/>
  <c r="AY89" i="1"/>
  <c r="AY20" i="1"/>
  <c r="AY50" i="1"/>
  <c r="AY76" i="1"/>
  <c r="AY95" i="1"/>
  <c r="AY39" i="1"/>
  <c r="AY27" i="1"/>
  <c r="AY49" i="1"/>
  <c r="AY31" i="1"/>
  <c r="AY75" i="1"/>
  <c r="AY40" i="1"/>
  <c r="AY26" i="1"/>
  <c r="AY28" i="1"/>
  <c r="AY53" i="1"/>
  <c r="AY37" i="1"/>
  <c r="AY38" i="1"/>
  <c r="AY54" i="1"/>
  <c r="AY94" i="1"/>
  <c r="AY3" i="1"/>
  <c r="AY93" i="1"/>
  <c r="AY83" i="1"/>
  <c r="AD59" i="1"/>
  <c r="AY59" i="1" s="1"/>
  <c r="AD73" i="1"/>
  <c r="AY73" i="1" s="1"/>
  <c r="AD76" i="1"/>
  <c r="AD71" i="1"/>
  <c r="AY71" i="1" s="1"/>
  <c r="AD74" i="1"/>
  <c r="AY74" i="1" s="1"/>
  <c r="AD78" i="1"/>
  <c r="AD80" i="1"/>
  <c r="AY80" i="1" s="1"/>
  <c r="AD83" i="1"/>
  <c r="AD89" i="1"/>
  <c r="AD85" i="1"/>
  <c r="AY85" i="1" s="1"/>
  <c r="AD70" i="1"/>
  <c r="AY70" i="1" s="1"/>
  <c r="AD72" i="1"/>
  <c r="AY72" i="1" s="1"/>
  <c r="AD69" i="1"/>
  <c r="AY69" i="1" s="1"/>
  <c r="AD75" i="1"/>
  <c r="AD77" i="1"/>
  <c r="AD79" i="1"/>
  <c r="AY79" i="1" s="1"/>
  <c r="AD88" i="1"/>
  <c r="AD84" i="1"/>
  <c r="AY84" i="1" s="1"/>
  <c r="AD92" i="1"/>
  <c r="AY92" i="1" s="1"/>
  <c r="AD93" i="1"/>
  <c r="AD94" i="1"/>
  <c r="AD95" i="1"/>
  <c r="AD7" i="1"/>
  <c r="AD12" i="1"/>
  <c r="AD8" i="1"/>
  <c r="AD13" i="1"/>
  <c r="AD6" i="1"/>
  <c r="AD11" i="1"/>
  <c r="AD17" i="1"/>
  <c r="AD31" i="1"/>
  <c r="AD26" i="1"/>
  <c r="AD30" i="1"/>
  <c r="AD46" i="1"/>
  <c r="AD50" i="1"/>
  <c r="AD5" i="1"/>
  <c r="AD9" i="1"/>
  <c r="AD14" i="1"/>
  <c r="AD18" i="1"/>
  <c r="AD32" i="1"/>
  <c r="AD27" i="1"/>
  <c r="AD43" i="1"/>
  <c r="AD47" i="1"/>
  <c r="AD51" i="1"/>
  <c r="AD57" i="1"/>
  <c r="AY57" i="1" s="1"/>
  <c r="AD39" i="1"/>
  <c r="AD16" i="1"/>
  <c r="AD20" i="1"/>
  <c r="AD25" i="1"/>
  <c r="AD29" i="1"/>
  <c r="AD45" i="1"/>
  <c r="AD49" i="1"/>
  <c r="AD54" i="1"/>
  <c r="AD35" i="1"/>
  <c r="AY35" i="1" s="1"/>
  <c r="AD40" i="1"/>
  <c r="AD15" i="1"/>
  <c r="AD19" i="1"/>
  <c r="AD33" i="1"/>
  <c r="AD28" i="1"/>
  <c r="AD44" i="1"/>
  <c r="AD48" i="1"/>
  <c r="AD52" i="1"/>
  <c r="AD53" i="1"/>
  <c r="AD55" i="1"/>
  <c r="AD37" i="1"/>
  <c r="AD56" i="1"/>
  <c r="AD3" i="1"/>
  <c r="AD38" i="1"/>
  <c r="AD42" i="1"/>
  <c r="AY42" i="1" s="1"/>
  <c r="AE2" i="1"/>
  <c r="AE100" i="1" l="1"/>
  <c r="AZ105" i="1"/>
  <c r="AE104" i="1"/>
  <c r="AE103" i="1"/>
  <c r="AE102" i="1"/>
  <c r="AE105" i="1"/>
  <c r="AZ103" i="1"/>
  <c r="AZ101" i="1"/>
  <c r="AE101" i="1"/>
  <c r="AZ100" i="1"/>
  <c r="AZ102" i="1"/>
  <c r="AZ104" i="1"/>
  <c r="AE123" i="1"/>
  <c r="AZ122" i="1"/>
  <c r="AE117" i="1"/>
  <c r="AZ116" i="1"/>
  <c r="AZ113" i="1"/>
  <c r="AZ109" i="1"/>
  <c r="AZ120" i="1"/>
  <c r="AE111" i="1"/>
  <c r="AZ118" i="1"/>
  <c r="AZ117" i="1"/>
  <c r="AZ114" i="1"/>
  <c r="AZ106" i="1"/>
  <c r="AZ121" i="1"/>
  <c r="AZ108" i="1"/>
  <c r="AZ107" i="1"/>
  <c r="AZ123" i="1"/>
  <c r="AE122" i="1"/>
  <c r="AZ119" i="1"/>
  <c r="AZ115" i="1"/>
  <c r="AZ112" i="1"/>
  <c r="AZ111" i="1"/>
  <c r="AZ110" i="1"/>
  <c r="AE109" i="1"/>
  <c r="AE107" i="1"/>
  <c r="AE121" i="1"/>
  <c r="AE108" i="1"/>
  <c r="AE86" i="1"/>
  <c r="AZ86" i="1" s="1"/>
  <c r="AE106" i="1"/>
  <c r="AE118" i="1"/>
  <c r="AE119" i="1"/>
  <c r="AE115" i="1"/>
  <c r="AE112" i="1"/>
  <c r="AE110" i="1"/>
  <c r="AE114" i="1"/>
  <c r="AZ91" i="1"/>
  <c r="AE81" i="1"/>
  <c r="AZ81" i="1" s="1"/>
  <c r="AE91" i="1"/>
  <c r="AE113" i="1"/>
  <c r="AE120" i="1"/>
  <c r="AE116" i="1"/>
  <c r="AZ41" i="1"/>
  <c r="AE41" i="1"/>
  <c r="AZ36" i="1"/>
  <c r="AZ96" i="1"/>
  <c r="AE36" i="1"/>
  <c r="AE96" i="1"/>
  <c r="AE22" i="1"/>
  <c r="AZ10" i="1"/>
  <c r="AZ22" i="1"/>
  <c r="AE24" i="1"/>
  <c r="AE21" i="1"/>
  <c r="AZ24" i="1"/>
  <c r="AZ23" i="1"/>
  <c r="AE23" i="1"/>
  <c r="AE10" i="1"/>
  <c r="AZ21" i="1"/>
  <c r="AE97" i="1"/>
  <c r="AE62" i="1"/>
  <c r="AZ62" i="1" s="1"/>
  <c r="AE61" i="1"/>
  <c r="AZ61" i="1" s="1"/>
  <c r="AE60" i="1"/>
  <c r="AZ60" i="1" s="1"/>
  <c r="AZ99" i="1"/>
  <c r="AE99" i="1"/>
  <c r="AZ98" i="1"/>
  <c r="AE98" i="1"/>
  <c r="AZ97" i="1"/>
  <c r="AE34" i="1"/>
  <c r="AZ34" i="1"/>
  <c r="AZ4" i="1"/>
  <c r="AE90" i="1"/>
  <c r="AE4" i="1"/>
  <c r="AZ90" i="1"/>
  <c r="AE87" i="1"/>
  <c r="AZ87" i="1" s="1"/>
  <c r="AE82" i="1"/>
  <c r="AZ82" i="1" s="1"/>
  <c r="AE64" i="1"/>
  <c r="AZ64" i="1" s="1"/>
  <c r="AE63" i="1"/>
  <c r="AZ63" i="1" s="1"/>
  <c r="AE68" i="1"/>
  <c r="AZ68" i="1" s="1"/>
  <c r="AE67" i="1"/>
  <c r="AZ67" i="1" s="1"/>
  <c r="AE66" i="1"/>
  <c r="AZ66" i="1" s="1"/>
  <c r="AE65" i="1"/>
  <c r="AZ65" i="1" s="1"/>
  <c r="AE58" i="1"/>
  <c r="AZ58" i="1" s="1"/>
  <c r="AZ8" i="1"/>
  <c r="AZ13" i="1"/>
  <c r="AZ17" i="1"/>
  <c r="AZ31" i="1"/>
  <c r="AZ5" i="1"/>
  <c r="AZ9" i="1"/>
  <c r="AZ14" i="1"/>
  <c r="AZ18" i="1"/>
  <c r="AZ12" i="1"/>
  <c r="AZ20" i="1"/>
  <c r="AZ32" i="1"/>
  <c r="AZ11" i="1"/>
  <c r="AZ19" i="1"/>
  <c r="AZ33" i="1"/>
  <c r="AZ28" i="1"/>
  <c r="AZ15" i="1"/>
  <c r="AZ46" i="1"/>
  <c r="AZ16" i="1"/>
  <c r="AZ43" i="1"/>
  <c r="AZ47" i="1"/>
  <c r="AZ7" i="1"/>
  <c r="AZ25" i="1"/>
  <c r="AZ26" i="1"/>
  <c r="AZ27" i="1"/>
  <c r="AZ49" i="1"/>
  <c r="AZ50" i="1"/>
  <c r="AZ54" i="1"/>
  <c r="AZ76" i="1"/>
  <c r="AZ6" i="1"/>
  <c r="AZ48" i="1"/>
  <c r="AZ51" i="1"/>
  <c r="AZ55" i="1"/>
  <c r="AZ77" i="1"/>
  <c r="AZ88" i="1"/>
  <c r="AZ44" i="1"/>
  <c r="AZ53" i="1"/>
  <c r="AZ79" i="1"/>
  <c r="AZ83" i="1"/>
  <c r="AZ94" i="1"/>
  <c r="AZ38" i="1"/>
  <c r="AZ3" i="1"/>
  <c r="AZ29" i="1"/>
  <c r="AZ45" i="1"/>
  <c r="AZ52" i="1"/>
  <c r="AZ78" i="1"/>
  <c r="AZ84" i="1"/>
  <c r="AZ95" i="1"/>
  <c r="AZ39" i="1"/>
  <c r="AZ30" i="1"/>
  <c r="AZ56" i="1"/>
  <c r="AZ75" i="1"/>
  <c r="AZ40" i="1"/>
  <c r="AZ93" i="1"/>
  <c r="AZ89" i="1"/>
  <c r="AZ37" i="1"/>
  <c r="AE72" i="1"/>
  <c r="AZ72" i="1" s="1"/>
  <c r="AE75" i="1"/>
  <c r="AE79" i="1"/>
  <c r="AE70" i="1"/>
  <c r="AZ70" i="1" s="1"/>
  <c r="AE69" i="1"/>
  <c r="AZ69" i="1" s="1"/>
  <c r="AE77" i="1"/>
  <c r="AE92" i="1"/>
  <c r="AZ92" i="1" s="1"/>
  <c r="AE93" i="1"/>
  <c r="AE88" i="1"/>
  <c r="AE84" i="1"/>
  <c r="AE59" i="1"/>
  <c r="AZ59" i="1" s="1"/>
  <c r="AE71" i="1"/>
  <c r="AZ71" i="1" s="1"/>
  <c r="AE73" i="1"/>
  <c r="AZ73" i="1" s="1"/>
  <c r="AE74" i="1"/>
  <c r="AZ74" i="1" s="1"/>
  <c r="AE76" i="1"/>
  <c r="AE78" i="1"/>
  <c r="AE94" i="1"/>
  <c r="AE95" i="1"/>
  <c r="AE89" i="1"/>
  <c r="AE85" i="1"/>
  <c r="AZ85" i="1" s="1"/>
  <c r="AE80" i="1"/>
  <c r="AZ80" i="1" s="1"/>
  <c r="AE83" i="1"/>
  <c r="AE6" i="1"/>
  <c r="AE11" i="1"/>
  <c r="AE7" i="1"/>
  <c r="AE12" i="1"/>
  <c r="AE16" i="1"/>
  <c r="AE20" i="1"/>
  <c r="AE25" i="1"/>
  <c r="AE29" i="1"/>
  <c r="AE45" i="1"/>
  <c r="AE49" i="1"/>
  <c r="AE53" i="1"/>
  <c r="AE17" i="1"/>
  <c r="AE31" i="1"/>
  <c r="AE26" i="1"/>
  <c r="AE30" i="1"/>
  <c r="AE46" i="1"/>
  <c r="AE50" i="1"/>
  <c r="AE5" i="1"/>
  <c r="AE9" i="1"/>
  <c r="AE14" i="1"/>
  <c r="AE15" i="1"/>
  <c r="AE19" i="1"/>
  <c r="AE18" i="1"/>
  <c r="AE32" i="1"/>
  <c r="AE27" i="1"/>
  <c r="AE43" i="1"/>
  <c r="AE47" i="1"/>
  <c r="AE51" i="1"/>
  <c r="AE56" i="1"/>
  <c r="AE38" i="1"/>
  <c r="AE42" i="1"/>
  <c r="AZ42" i="1" s="1"/>
  <c r="AE3" i="1"/>
  <c r="AE8" i="1"/>
  <c r="AE13" i="1"/>
  <c r="AE57" i="1"/>
  <c r="AZ57" i="1" s="1"/>
  <c r="AE39" i="1"/>
  <c r="AE40" i="1"/>
  <c r="AE33" i="1"/>
  <c r="AE28" i="1"/>
  <c r="AE44" i="1"/>
  <c r="AE48" i="1"/>
  <c r="AE52" i="1"/>
  <c r="AE55" i="1"/>
  <c r="AE37" i="1"/>
  <c r="AE54" i="1"/>
  <c r="AE35" i="1"/>
  <c r="AZ35" i="1" s="1"/>
  <c r="AF2" i="1"/>
  <c r="BA105" i="1" l="1"/>
  <c r="AF104" i="1"/>
  <c r="AF103" i="1"/>
  <c r="AF102" i="1"/>
  <c r="AF105" i="1"/>
  <c r="BA103" i="1"/>
  <c r="BA102" i="1"/>
  <c r="BA101" i="1"/>
  <c r="AF101" i="1"/>
  <c r="BA100" i="1"/>
  <c r="AF100" i="1"/>
  <c r="BA104" i="1"/>
  <c r="AF123" i="1"/>
  <c r="BA118" i="1"/>
  <c r="BA117" i="1"/>
  <c r="BA114" i="1"/>
  <c r="BA106" i="1"/>
  <c r="BA123" i="1"/>
  <c r="BA119" i="1"/>
  <c r="BA120" i="1"/>
  <c r="BA115" i="1"/>
  <c r="BA112" i="1"/>
  <c r="BA111" i="1"/>
  <c r="BA110" i="1"/>
  <c r="BA108" i="1"/>
  <c r="BA107" i="1"/>
  <c r="BA121" i="1"/>
  <c r="AF121" i="1"/>
  <c r="BA116" i="1"/>
  <c r="BA122" i="1"/>
  <c r="BA113" i="1"/>
  <c r="AF117" i="1"/>
  <c r="BA109" i="1"/>
  <c r="AF118" i="1"/>
  <c r="AF116" i="1"/>
  <c r="AF110" i="1"/>
  <c r="AF106" i="1"/>
  <c r="AF114" i="1"/>
  <c r="BA86" i="1"/>
  <c r="AF122" i="1"/>
  <c r="AF111" i="1"/>
  <c r="BA91" i="1"/>
  <c r="AF81" i="1"/>
  <c r="BA81" i="1" s="1"/>
  <c r="AF113" i="1"/>
  <c r="AF108" i="1"/>
  <c r="AF115" i="1"/>
  <c r="AF91" i="1"/>
  <c r="AF119" i="1"/>
  <c r="AF86" i="1"/>
  <c r="AF120" i="1"/>
  <c r="AF112" i="1"/>
  <c r="AF109" i="1"/>
  <c r="AF107" i="1"/>
  <c r="BA41" i="1"/>
  <c r="AF41" i="1"/>
  <c r="BA36" i="1"/>
  <c r="AF36" i="1"/>
  <c r="BA96" i="1"/>
  <c r="AF96" i="1"/>
  <c r="BA10" i="1"/>
  <c r="BA22" i="1"/>
  <c r="AF24" i="1"/>
  <c r="AF21" i="1"/>
  <c r="BA24" i="1"/>
  <c r="BA23" i="1"/>
  <c r="AF23" i="1"/>
  <c r="AF10" i="1"/>
  <c r="BA21" i="1"/>
  <c r="AF22" i="1"/>
  <c r="BA98" i="1"/>
  <c r="AF98" i="1"/>
  <c r="BA99" i="1"/>
  <c r="AF99" i="1"/>
  <c r="BA97" i="1"/>
  <c r="AF62" i="1"/>
  <c r="BA62" i="1" s="1"/>
  <c r="AF61" i="1"/>
  <c r="BA61" i="1" s="1"/>
  <c r="AF60" i="1"/>
  <c r="BA60" i="1" s="1"/>
  <c r="AF97" i="1"/>
  <c r="BA34" i="1"/>
  <c r="AF34" i="1"/>
  <c r="AF4" i="1"/>
  <c r="BA90" i="1"/>
  <c r="AF87" i="1"/>
  <c r="BA87" i="1" s="1"/>
  <c r="BA4" i="1"/>
  <c r="AF90" i="1"/>
  <c r="AF82" i="1"/>
  <c r="BA82" i="1" s="1"/>
  <c r="AF68" i="1"/>
  <c r="BA68" i="1" s="1"/>
  <c r="AF67" i="1"/>
  <c r="BA67" i="1" s="1"/>
  <c r="AF66" i="1"/>
  <c r="BA66" i="1" s="1"/>
  <c r="AF65" i="1"/>
  <c r="BA65" i="1" s="1"/>
  <c r="AF64" i="1"/>
  <c r="BA64" i="1" s="1"/>
  <c r="AF63" i="1"/>
  <c r="BA63" i="1" s="1"/>
  <c r="AF58" i="1"/>
  <c r="BA58" i="1" s="1"/>
  <c r="BA7" i="1"/>
  <c r="BA12" i="1"/>
  <c r="BA16" i="1"/>
  <c r="BA20" i="1"/>
  <c r="BA8" i="1"/>
  <c r="BA13" i="1"/>
  <c r="BA17" i="1"/>
  <c r="BA31" i="1"/>
  <c r="BA6" i="1"/>
  <c r="BA15" i="1"/>
  <c r="BA5" i="1"/>
  <c r="BA14" i="1"/>
  <c r="BA32" i="1"/>
  <c r="BA27" i="1"/>
  <c r="BA18" i="1"/>
  <c r="BA33" i="1"/>
  <c r="BA25" i="1"/>
  <c r="BA26" i="1"/>
  <c r="BA45" i="1"/>
  <c r="BA19" i="1"/>
  <c r="BA46" i="1"/>
  <c r="BA11" i="1"/>
  <c r="BA28" i="1"/>
  <c r="BA29" i="1"/>
  <c r="BA30" i="1"/>
  <c r="BA44" i="1"/>
  <c r="BA53" i="1"/>
  <c r="BA75" i="1"/>
  <c r="BA79" i="1"/>
  <c r="BA92" i="1"/>
  <c r="BA9" i="1"/>
  <c r="BA43" i="1"/>
  <c r="BA49" i="1"/>
  <c r="BA50" i="1"/>
  <c r="BA54" i="1"/>
  <c r="BA76" i="1"/>
  <c r="BA47" i="1"/>
  <c r="BA56" i="1"/>
  <c r="BA89" i="1"/>
  <c r="BA93" i="1"/>
  <c r="BA37" i="1"/>
  <c r="BA48" i="1"/>
  <c r="BA55" i="1"/>
  <c r="BA88" i="1"/>
  <c r="BA83" i="1"/>
  <c r="BA94" i="1"/>
  <c r="BA38" i="1"/>
  <c r="BA3" i="1"/>
  <c r="BA78" i="1"/>
  <c r="BA95" i="1"/>
  <c r="BA40" i="1"/>
  <c r="BA51" i="1"/>
  <c r="BA84" i="1"/>
  <c r="BA39" i="1"/>
  <c r="BA52" i="1"/>
  <c r="BA77" i="1"/>
  <c r="AF71" i="1"/>
  <c r="BA71" i="1" s="1"/>
  <c r="AF74" i="1"/>
  <c r="BA74" i="1" s="1"/>
  <c r="AF78" i="1"/>
  <c r="AF59" i="1"/>
  <c r="BA59" i="1" s="1"/>
  <c r="AF73" i="1"/>
  <c r="BA73" i="1" s="1"/>
  <c r="AF76" i="1"/>
  <c r="AF72" i="1"/>
  <c r="BA72" i="1" s="1"/>
  <c r="AF75" i="1"/>
  <c r="AF79" i="1"/>
  <c r="AF89" i="1"/>
  <c r="AF85" i="1"/>
  <c r="BA85" i="1" s="1"/>
  <c r="AF70" i="1"/>
  <c r="BA70" i="1" s="1"/>
  <c r="AF69" i="1"/>
  <c r="BA69" i="1" s="1"/>
  <c r="AF77" i="1"/>
  <c r="AF80" i="1"/>
  <c r="BA80" i="1" s="1"/>
  <c r="AF83" i="1"/>
  <c r="AF94" i="1"/>
  <c r="AF92" i="1"/>
  <c r="AF93" i="1"/>
  <c r="AF95" i="1"/>
  <c r="AF88" i="1"/>
  <c r="AF84" i="1"/>
  <c r="AF5" i="1"/>
  <c r="AF9" i="1"/>
  <c r="AF14" i="1"/>
  <c r="AF6" i="1"/>
  <c r="AF11" i="1"/>
  <c r="AF7" i="1"/>
  <c r="AF8" i="1"/>
  <c r="AF12" i="1"/>
  <c r="AF13" i="1"/>
  <c r="AF15" i="1"/>
  <c r="AF19" i="1"/>
  <c r="AF33" i="1"/>
  <c r="AF28" i="1"/>
  <c r="AF44" i="1"/>
  <c r="AF48" i="1"/>
  <c r="AF52" i="1"/>
  <c r="AF16" i="1"/>
  <c r="AF20" i="1"/>
  <c r="AF25" i="1"/>
  <c r="AF29" i="1"/>
  <c r="AF45" i="1"/>
  <c r="AF49" i="1"/>
  <c r="AF55" i="1"/>
  <c r="AF37" i="1"/>
  <c r="AF17" i="1"/>
  <c r="AF18" i="1"/>
  <c r="AF31" i="1"/>
  <c r="AF32" i="1"/>
  <c r="AF26" i="1"/>
  <c r="AF27" i="1"/>
  <c r="AF30" i="1"/>
  <c r="AF43" i="1"/>
  <c r="AF46" i="1"/>
  <c r="AF47" i="1"/>
  <c r="AF50" i="1"/>
  <c r="AF51" i="1"/>
  <c r="AF56" i="1"/>
  <c r="AF38" i="1"/>
  <c r="AF42" i="1"/>
  <c r="BA42" i="1" s="1"/>
  <c r="AF3" i="1"/>
  <c r="AF54" i="1"/>
  <c r="AF53" i="1"/>
  <c r="AF57" i="1"/>
  <c r="BA57" i="1" s="1"/>
  <c r="AF35" i="1"/>
  <c r="BA35" i="1" s="1"/>
  <c r="AF39" i="1"/>
  <c r="AF40" i="1"/>
  <c r="AG2" i="1"/>
  <c r="AG105" i="1" l="1"/>
  <c r="BB103" i="1"/>
  <c r="BB102" i="1"/>
  <c r="BB101" i="1"/>
  <c r="AG101" i="1"/>
  <c r="BB104" i="1"/>
  <c r="AG100" i="1"/>
  <c r="BB105" i="1"/>
  <c r="AG104" i="1"/>
  <c r="AG102" i="1"/>
  <c r="AG103" i="1"/>
  <c r="BB100" i="1"/>
  <c r="AG122" i="1"/>
  <c r="BB120" i="1"/>
  <c r="BB115" i="1"/>
  <c r="BB112" i="1"/>
  <c r="BB111" i="1"/>
  <c r="BB110" i="1"/>
  <c r="BB108" i="1"/>
  <c r="BB107" i="1"/>
  <c r="AG110" i="1"/>
  <c r="BB122" i="1"/>
  <c r="BB116" i="1"/>
  <c r="BB123" i="1"/>
  <c r="BB121" i="1"/>
  <c r="AG121" i="1"/>
  <c r="BB119" i="1"/>
  <c r="BB118" i="1"/>
  <c r="BB113" i="1"/>
  <c r="BB114" i="1"/>
  <c r="BB106" i="1"/>
  <c r="BB109" i="1"/>
  <c r="BB117" i="1"/>
  <c r="AG120" i="1"/>
  <c r="AG117" i="1"/>
  <c r="AG111" i="1"/>
  <c r="BB91" i="1"/>
  <c r="AG81" i="1"/>
  <c r="BB81" i="1" s="1"/>
  <c r="AG91" i="1"/>
  <c r="AG109" i="1"/>
  <c r="AG107" i="1"/>
  <c r="AG114" i="1"/>
  <c r="AG86" i="1"/>
  <c r="AG118" i="1"/>
  <c r="AG115" i="1"/>
  <c r="AG119" i="1"/>
  <c r="AG123" i="1"/>
  <c r="AG116" i="1"/>
  <c r="AG113" i="1"/>
  <c r="AG112" i="1"/>
  <c r="AG106" i="1"/>
  <c r="AG108" i="1"/>
  <c r="BB86" i="1"/>
  <c r="BB41" i="1"/>
  <c r="AG41" i="1"/>
  <c r="AG36" i="1"/>
  <c r="BB96" i="1"/>
  <c r="AG96" i="1"/>
  <c r="BB36" i="1"/>
  <c r="BB24" i="1"/>
  <c r="BB23" i="1"/>
  <c r="AG23" i="1"/>
  <c r="AG10" i="1"/>
  <c r="BB21" i="1"/>
  <c r="AG22" i="1"/>
  <c r="BB10" i="1"/>
  <c r="BB22" i="1"/>
  <c r="AG24" i="1"/>
  <c r="AG21" i="1"/>
  <c r="AG97" i="1"/>
  <c r="AG62" i="1"/>
  <c r="BB62" i="1" s="1"/>
  <c r="AG61" i="1"/>
  <c r="BB61" i="1" s="1"/>
  <c r="AG60" i="1"/>
  <c r="BB60" i="1" s="1"/>
  <c r="BB99" i="1"/>
  <c r="AG99" i="1"/>
  <c r="BB98" i="1"/>
  <c r="BB97" i="1"/>
  <c r="AG98" i="1"/>
  <c r="BB34" i="1"/>
  <c r="AG34" i="1"/>
  <c r="AG4" i="1"/>
  <c r="BB90" i="1"/>
  <c r="AG87" i="1"/>
  <c r="BB87" i="1" s="1"/>
  <c r="BB4" i="1"/>
  <c r="AG90" i="1"/>
  <c r="AG82" i="1"/>
  <c r="BB82" i="1" s="1"/>
  <c r="AG68" i="1"/>
  <c r="BB68" i="1" s="1"/>
  <c r="AG67" i="1"/>
  <c r="BB67" i="1" s="1"/>
  <c r="AG66" i="1"/>
  <c r="BB66" i="1" s="1"/>
  <c r="AG65" i="1"/>
  <c r="BB65" i="1" s="1"/>
  <c r="AG63" i="1"/>
  <c r="BB63" i="1" s="1"/>
  <c r="AG64" i="1"/>
  <c r="BB64" i="1" s="1"/>
  <c r="AG58" i="1"/>
  <c r="BB58" i="1" s="1"/>
  <c r="BB6" i="1"/>
  <c r="BB11" i="1"/>
  <c r="BB15" i="1"/>
  <c r="BB19" i="1"/>
  <c r="BB7" i="1"/>
  <c r="BB12" i="1"/>
  <c r="BB16" i="1"/>
  <c r="BB20" i="1"/>
  <c r="BB9" i="1"/>
  <c r="BB18" i="1"/>
  <c r="BB8" i="1"/>
  <c r="BB17" i="1"/>
  <c r="BB26" i="1"/>
  <c r="BB30" i="1"/>
  <c r="BB31" i="1"/>
  <c r="BB27" i="1"/>
  <c r="BB28" i="1"/>
  <c r="BB29" i="1"/>
  <c r="BB44" i="1"/>
  <c r="BB48" i="1"/>
  <c r="BB5" i="1"/>
  <c r="BB32" i="1"/>
  <c r="BB33" i="1"/>
  <c r="BB25" i="1"/>
  <c r="BB45" i="1"/>
  <c r="BB49" i="1"/>
  <c r="BB14" i="1"/>
  <c r="BB47" i="1"/>
  <c r="BB52" i="1"/>
  <c r="BB56" i="1"/>
  <c r="BB78" i="1"/>
  <c r="BB89" i="1"/>
  <c r="BB13" i="1"/>
  <c r="BB46" i="1"/>
  <c r="BB53" i="1"/>
  <c r="BB57" i="1"/>
  <c r="BB75" i="1"/>
  <c r="BB79" i="1"/>
  <c r="BB92" i="1"/>
  <c r="BB51" i="1"/>
  <c r="BB77" i="1"/>
  <c r="BB40" i="1"/>
  <c r="BB50" i="1"/>
  <c r="BB76" i="1"/>
  <c r="BB93" i="1"/>
  <c r="BB37" i="1"/>
  <c r="BB88" i="1"/>
  <c r="BB83" i="1"/>
  <c r="BB38" i="1"/>
  <c r="BB94" i="1"/>
  <c r="BB3" i="1"/>
  <c r="BB84" i="1"/>
  <c r="BB95" i="1"/>
  <c r="BB43" i="1"/>
  <c r="BB54" i="1"/>
  <c r="BB55" i="1"/>
  <c r="BB80" i="1"/>
  <c r="BB39" i="1"/>
  <c r="AG70" i="1"/>
  <c r="BB70" i="1" s="1"/>
  <c r="AG69" i="1"/>
  <c r="BB69" i="1" s="1"/>
  <c r="AG77" i="1"/>
  <c r="AG72" i="1"/>
  <c r="BB72" i="1" s="1"/>
  <c r="AG75" i="1"/>
  <c r="AG79" i="1"/>
  <c r="AG59" i="1"/>
  <c r="BB59" i="1" s="1"/>
  <c r="AG73" i="1"/>
  <c r="BB73" i="1" s="1"/>
  <c r="AG76" i="1"/>
  <c r="AG88" i="1"/>
  <c r="AG84" i="1"/>
  <c r="AG71" i="1"/>
  <c r="BB71" i="1" s="1"/>
  <c r="AG74" i="1"/>
  <c r="BB74" i="1" s="1"/>
  <c r="AG78" i="1"/>
  <c r="AG92" i="1"/>
  <c r="AG93" i="1"/>
  <c r="AG80" i="1"/>
  <c r="AG83" i="1"/>
  <c r="AG94" i="1"/>
  <c r="AG89" i="1"/>
  <c r="AG85" i="1"/>
  <c r="BB85" i="1" s="1"/>
  <c r="AG95" i="1"/>
  <c r="AG8" i="1"/>
  <c r="AG13" i="1"/>
  <c r="AG5" i="1"/>
  <c r="AG9" i="1"/>
  <c r="AG14" i="1"/>
  <c r="AG18" i="1"/>
  <c r="AG32" i="1"/>
  <c r="AG27" i="1"/>
  <c r="AG43" i="1"/>
  <c r="AG47" i="1"/>
  <c r="AG51" i="1"/>
  <c r="AG6" i="1"/>
  <c r="AG7" i="1"/>
  <c r="AG11" i="1"/>
  <c r="AG12" i="1"/>
  <c r="AG15" i="1"/>
  <c r="AG19" i="1"/>
  <c r="AG33" i="1"/>
  <c r="AG28" i="1"/>
  <c r="AG44" i="1"/>
  <c r="AG48" i="1"/>
  <c r="AG52" i="1"/>
  <c r="AG53" i="1"/>
  <c r="AG54" i="1"/>
  <c r="AG35" i="1"/>
  <c r="BB35" i="1" s="1"/>
  <c r="AG40" i="1"/>
  <c r="AG16" i="1"/>
  <c r="AG20" i="1"/>
  <c r="AG26" i="1"/>
  <c r="AG55" i="1"/>
  <c r="AG37" i="1"/>
  <c r="AG17" i="1"/>
  <c r="AG31" i="1"/>
  <c r="AG25" i="1"/>
  <c r="AG56" i="1"/>
  <c r="AG57" i="1"/>
  <c r="AG38" i="1"/>
  <c r="AG39" i="1"/>
  <c r="AG42" i="1"/>
  <c r="BB42" i="1" s="1"/>
  <c r="AG3" i="1"/>
  <c r="AG45" i="1"/>
  <c r="AG49" i="1"/>
  <c r="AG30" i="1"/>
  <c r="AG46" i="1"/>
  <c r="AG50" i="1"/>
  <c r="AG29" i="1"/>
  <c r="AH2" i="1"/>
  <c r="BC104" i="1" l="1"/>
  <c r="BC100" i="1"/>
  <c r="BC105" i="1"/>
  <c r="AH104" i="1"/>
  <c r="AH102" i="1"/>
  <c r="BC102" i="1"/>
  <c r="AH103" i="1"/>
  <c r="BC103" i="1"/>
  <c r="BC101" i="1"/>
  <c r="AH100" i="1"/>
  <c r="AH105" i="1"/>
  <c r="AH101" i="1"/>
  <c r="BC123" i="1"/>
  <c r="BC121" i="1"/>
  <c r="AH121" i="1"/>
  <c r="BC119" i="1"/>
  <c r="AH114" i="1"/>
  <c r="BC118" i="1"/>
  <c r="BC122" i="1"/>
  <c r="BC116" i="1"/>
  <c r="BC113" i="1"/>
  <c r="BC109" i="1"/>
  <c r="BC117" i="1"/>
  <c r="BC114" i="1"/>
  <c r="BC106" i="1"/>
  <c r="BC107" i="1"/>
  <c r="BC115" i="1"/>
  <c r="BC112" i="1"/>
  <c r="BC111" i="1"/>
  <c r="BC110" i="1"/>
  <c r="BC120" i="1"/>
  <c r="BC108" i="1"/>
  <c r="AH120" i="1"/>
  <c r="AH106" i="1"/>
  <c r="AH108" i="1"/>
  <c r="AH91" i="1"/>
  <c r="AH111" i="1"/>
  <c r="AH118" i="1"/>
  <c r="AH117" i="1"/>
  <c r="AH109" i="1"/>
  <c r="AH86" i="1"/>
  <c r="AH122" i="1"/>
  <c r="AH107" i="1"/>
  <c r="AH81" i="1"/>
  <c r="BC81" i="1" s="1"/>
  <c r="AH112" i="1"/>
  <c r="AH123" i="1"/>
  <c r="AH119" i="1"/>
  <c r="AH116" i="1"/>
  <c r="AH110" i="1"/>
  <c r="AH113" i="1"/>
  <c r="BC86" i="1"/>
  <c r="AH115" i="1"/>
  <c r="BC91" i="1"/>
  <c r="AH41" i="1"/>
  <c r="BC41" i="1"/>
  <c r="BC96" i="1"/>
  <c r="AH96" i="1"/>
  <c r="AH36" i="1"/>
  <c r="BC36" i="1"/>
  <c r="BC23" i="1"/>
  <c r="AH23" i="1"/>
  <c r="AH10" i="1"/>
  <c r="BC21" i="1"/>
  <c r="AH22" i="1"/>
  <c r="BC10" i="1"/>
  <c r="BC22" i="1"/>
  <c r="AH24" i="1"/>
  <c r="AH21" i="1"/>
  <c r="BC24" i="1"/>
  <c r="BC99" i="1"/>
  <c r="AH99" i="1"/>
  <c r="BC97" i="1"/>
  <c r="BC98" i="1"/>
  <c r="AH98" i="1"/>
  <c r="AH97" i="1"/>
  <c r="AH61" i="1"/>
  <c r="BC61" i="1" s="1"/>
  <c r="AH60" i="1"/>
  <c r="BC60" i="1" s="1"/>
  <c r="AH62" i="1"/>
  <c r="BC62" i="1" s="1"/>
  <c r="BC34" i="1"/>
  <c r="AH34" i="1"/>
  <c r="BC90" i="1"/>
  <c r="AH87" i="1"/>
  <c r="BC4" i="1"/>
  <c r="AH90" i="1"/>
  <c r="AH4" i="1"/>
  <c r="BC87" i="1"/>
  <c r="AH82" i="1"/>
  <c r="BC82" i="1" s="1"/>
  <c r="AH68" i="1"/>
  <c r="BC68" i="1" s="1"/>
  <c r="AH67" i="1"/>
  <c r="BC67" i="1" s="1"/>
  <c r="AH66" i="1"/>
  <c r="BC66" i="1" s="1"/>
  <c r="AH65" i="1"/>
  <c r="BC65" i="1" s="1"/>
  <c r="AH63" i="1"/>
  <c r="BC63" i="1" s="1"/>
  <c r="AH64" i="1"/>
  <c r="BC64" i="1" s="1"/>
  <c r="AH58" i="1"/>
  <c r="BC58" i="1" s="1"/>
  <c r="BC5" i="1"/>
  <c r="BC9" i="1"/>
  <c r="BC14" i="1"/>
  <c r="BC18" i="1"/>
  <c r="BC6" i="1"/>
  <c r="BC11" i="1"/>
  <c r="BC15" i="1"/>
  <c r="BC19" i="1"/>
  <c r="BC13" i="1"/>
  <c r="BC31" i="1"/>
  <c r="BC12" i="1"/>
  <c r="BC20" i="1"/>
  <c r="BC25" i="1"/>
  <c r="BC29" i="1"/>
  <c r="BC7" i="1"/>
  <c r="BC30" i="1"/>
  <c r="BC43" i="1"/>
  <c r="BC47" i="1"/>
  <c r="BC8" i="1"/>
  <c r="BC26" i="1"/>
  <c r="BC27" i="1"/>
  <c r="BC28" i="1"/>
  <c r="BC44" i="1"/>
  <c r="BC48" i="1"/>
  <c r="BC17" i="1"/>
  <c r="BC51" i="1"/>
  <c r="BC55" i="1"/>
  <c r="BC77" i="1"/>
  <c r="BC88" i="1"/>
  <c r="BC16" i="1"/>
  <c r="BC33" i="1"/>
  <c r="BC52" i="1"/>
  <c r="BC56" i="1"/>
  <c r="BC78" i="1"/>
  <c r="BC89" i="1"/>
  <c r="BC32" i="1"/>
  <c r="BC54" i="1"/>
  <c r="BC80" i="1"/>
  <c r="BC84" i="1"/>
  <c r="BC95" i="1"/>
  <c r="BC39" i="1"/>
  <c r="BC50" i="1"/>
  <c r="BC53" i="1"/>
  <c r="BC79" i="1"/>
  <c r="BC85" i="1"/>
  <c r="BC40" i="1"/>
  <c r="BC45" i="1"/>
  <c r="BC93" i="1"/>
  <c r="BC49" i="1"/>
  <c r="BC3" i="1"/>
  <c r="BC75" i="1"/>
  <c r="BC83" i="1"/>
  <c r="BC38" i="1"/>
  <c r="BC46" i="1"/>
  <c r="BC57" i="1"/>
  <c r="BC76" i="1"/>
  <c r="BC37" i="1"/>
  <c r="BC92" i="1"/>
  <c r="BC94" i="1"/>
  <c r="AH59" i="1"/>
  <c r="BC59" i="1" s="1"/>
  <c r="AH73" i="1"/>
  <c r="BC73" i="1" s="1"/>
  <c r="AH76" i="1"/>
  <c r="AH71" i="1"/>
  <c r="BC71" i="1" s="1"/>
  <c r="AH74" i="1"/>
  <c r="BC74" i="1" s="1"/>
  <c r="AH78" i="1"/>
  <c r="AH80" i="1"/>
  <c r="AH83" i="1"/>
  <c r="AH89" i="1"/>
  <c r="AH85" i="1"/>
  <c r="AH93" i="1"/>
  <c r="AH92" i="1"/>
  <c r="AH70" i="1"/>
  <c r="BC70" i="1" s="1"/>
  <c r="AH72" i="1"/>
  <c r="BC72" i="1" s="1"/>
  <c r="AH69" i="1"/>
  <c r="BC69" i="1" s="1"/>
  <c r="AH75" i="1"/>
  <c r="AH77" i="1"/>
  <c r="AH79" i="1"/>
  <c r="AH94" i="1"/>
  <c r="AH88" i="1"/>
  <c r="AH84" i="1"/>
  <c r="AH95" i="1"/>
  <c r="AH7" i="1"/>
  <c r="AH12" i="1"/>
  <c r="AH8" i="1"/>
  <c r="AH13" i="1"/>
  <c r="AH17" i="1"/>
  <c r="AH31" i="1"/>
  <c r="AH26" i="1"/>
  <c r="AH30" i="1"/>
  <c r="AH46" i="1"/>
  <c r="AH50" i="1"/>
  <c r="AH18" i="1"/>
  <c r="AH32" i="1"/>
  <c r="AH27" i="1"/>
  <c r="AH43" i="1"/>
  <c r="AH47" i="1"/>
  <c r="AH51" i="1"/>
  <c r="AH16" i="1"/>
  <c r="AH20" i="1"/>
  <c r="AH5" i="1"/>
  <c r="AH9" i="1"/>
  <c r="AH14" i="1"/>
  <c r="AH15" i="1"/>
  <c r="AH19" i="1"/>
  <c r="AH33" i="1"/>
  <c r="AH28" i="1"/>
  <c r="AH44" i="1"/>
  <c r="AH48" i="1"/>
  <c r="AH57" i="1"/>
  <c r="AH39" i="1"/>
  <c r="AH11" i="1"/>
  <c r="AH52" i="1"/>
  <c r="AH53" i="1"/>
  <c r="AH54" i="1"/>
  <c r="AH35" i="1"/>
  <c r="BC35" i="1" s="1"/>
  <c r="AH40" i="1"/>
  <c r="AH6" i="1"/>
  <c r="AH29" i="1"/>
  <c r="AH45" i="1"/>
  <c r="AH49" i="1"/>
  <c r="AH55" i="1"/>
  <c r="AH37" i="1"/>
  <c r="AH3" i="1"/>
  <c r="AH25" i="1"/>
  <c r="AH56" i="1"/>
  <c r="AH38" i="1"/>
  <c r="AH42" i="1"/>
  <c r="BC42" i="1" s="1"/>
</calcChain>
</file>

<file path=xl/comments1.xml><?xml version="1.0" encoding="utf-8"?>
<comments xmlns="http://schemas.openxmlformats.org/spreadsheetml/2006/main">
  <authors>
    <author>Steve Wolf</author>
  </authors>
  <commentList>
    <comment ref="A9" authorId="0" shapeId="0">
      <text>
        <r>
          <rPr>
            <sz val="9"/>
            <color indexed="81"/>
            <rFont val="Tahoma"/>
            <family val="2"/>
          </rPr>
          <t>Cost Basis</t>
        </r>
      </text>
    </comment>
  </commentList>
</comments>
</file>

<file path=xl/sharedStrings.xml><?xml version="1.0" encoding="utf-8"?>
<sst xmlns="http://schemas.openxmlformats.org/spreadsheetml/2006/main" count="701" uniqueCount="230">
  <si>
    <t>Size</t>
  </si>
  <si>
    <t>Damage</t>
  </si>
  <si>
    <t>Range</t>
  </si>
  <si>
    <t>Energy/Shot</t>
  </si>
  <si>
    <t>Damage Loss per 100 range</t>
  </si>
  <si>
    <t>Fire interval</t>
  </si>
  <si>
    <t>Tech Level</t>
  </si>
  <si>
    <t>Pulse Blaster</t>
  </si>
  <si>
    <t>Maxos Blaster</t>
  </si>
  <si>
    <t>I</t>
  </si>
  <si>
    <t>II</t>
  </si>
  <si>
    <t>III</t>
  </si>
  <si>
    <t>PulseWave Cannon</t>
  </si>
  <si>
    <t>Shatterforce Laser</t>
  </si>
  <si>
    <t>Impact Assault Blaster</t>
  </si>
  <si>
    <t>Titan Beam</t>
  </si>
  <si>
    <t>Phaser Cannon</t>
  </si>
  <si>
    <t>Phaser Lance</t>
  </si>
  <si>
    <t>Ion Cannon</t>
  </si>
  <si>
    <t>Ion Pulse</t>
  </si>
  <si>
    <t>Graviton Beam</t>
  </si>
  <si>
    <t>Resonant Graviton Beam</t>
  </si>
  <si>
    <t>Heavy Rail Gun</t>
  </si>
  <si>
    <t>IV</t>
  </si>
  <si>
    <t>-</t>
  </si>
  <si>
    <t>Fire Interval</t>
  </si>
  <si>
    <t>Energy per Shot</t>
  </si>
  <si>
    <t>DPS at range:</t>
  </si>
  <si>
    <t>DPS per size unit at range:</t>
  </si>
  <si>
    <t>Weapon</t>
  </si>
  <si>
    <t>Level</t>
  </si>
  <si>
    <t>Energy per second</t>
  </si>
  <si>
    <t>Assault Missile</t>
  </si>
  <si>
    <t>Epsilon Torpedo</t>
  </si>
  <si>
    <t>Velocity Shard</t>
  </si>
  <si>
    <t>Shockwave Torpedo</t>
  </si>
  <si>
    <t>Plasma Thunderbolt</t>
  </si>
  <si>
    <t>Shaktur FireStorm</t>
  </si>
  <si>
    <t>Death Ray</t>
  </si>
  <si>
    <t>Intimidator Surgewave</t>
  </si>
  <si>
    <t>Derasian Shockwave</t>
  </si>
  <si>
    <t>Alpha strike at range:</t>
  </si>
  <si>
    <t>Alpha strike per size unit at range:</t>
  </si>
  <si>
    <t>Devastator Pulse</t>
  </si>
  <si>
    <t>Area Graviton Pulse</t>
  </si>
  <si>
    <t>Area Transient Singularity</t>
  </si>
  <si>
    <t>Pull AOE</t>
  </si>
  <si>
    <t>Pull Duration</t>
  </si>
  <si>
    <t>Pull Damage</t>
  </si>
  <si>
    <t>Enhanced Armor</t>
  </si>
  <si>
    <t>Reactive Armor</t>
  </si>
  <si>
    <t>Standard Armor</t>
  </si>
  <si>
    <t>Ultra Dense Armor</t>
  </si>
  <si>
    <t>Railgun</t>
  </si>
  <si>
    <t>Heavy Railgun</t>
  </si>
  <si>
    <t>Long-range Gun</t>
  </si>
  <si>
    <t>Massive Railgun</t>
  </si>
  <si>
    <t>Kaldos Hyperdrive</t>
  </si>
  <si>
    <t>Gerax Hyperdive</t>
  </si>
  <si>
    <t>Equinox Jumpdrive</t>
  </si>
  <si>
    <t>Calista-Dal Warp Drive</t>
  </si>
  <si>
    <t>Torrent Drive</t>
  </si>
  <si>
    <t>Velocity Drive</t>
  </si>
  <si>
    <t>Top Speed</t>
  </si>
  <si>
    <t>Power</t>
  </si>
  <si>
    <t>Initiation</t>
  </si>
  <si>
    <t>Warp Bubble Generator</t>
  </si>
  <si>
    <t>Tech</t>
  </si>
  <si>
    <t>Component</t>
  </si>
  <si>
    <t>Small Fuel Cell</t>
  </si>
  <si>
    <t>Standard Fuel Cell</t>
  </si>
  <si>
    <t>Ultra-Dense Fuel Cell</t>
  </si>
  <si>
    <t>Mega Density Fuel Cell</t>
  </si>
  <si>
    <t>Capacity</t>
  </si>
  <si>
    <t>Max Thrust</t>
  </si>
  <si>
    <t>Max Power</t>
  </si>
  <si>
    <t>Cruise Thrust</t>
  </si>
  <si>
    <t>Cruise Power</t>
  </si>
  <si>
    <t>Ion Thruster</t>
  </si>
  <si>
    <t>Proton Thruster</t>
  </si>
  <si>
    <t>Quantum Thruster</t>
  </si>
  <si>
    <t>Acceleros Engine</t>
  </si>
  <si>
    <t>Vortex Engine</t>
  </si>
  <si>
    <t>Turbo Thruster</t>
  </si>
  <si>
    <t>StarBurner</t>
  </si>
  <si>
    <t>Output</t>
  </si>
  <si>
    <t>Storage</t>
  </si>
  <si>
    <t>Fuel per 1000 Energy</t>
  </si>
  <si>
    <t>Basic Space Reactor</t>
  </si>
  <si>
    <t>Fission Reactor</t>
  </si>
  <si>
    <t>Fusion Reactor</t>
  </si>
  <si>
    <t>Quantum Reactor</t>
  </si>
  <si>
    <t>HyperFusion Reactor</t>
  </si>
  <si>
    <t>NovaCore Reactor</t>
  </si>
  <si>
    <t>Caslon</t>
  </si>
  <si>
    <t>Hydrogen</t>
  </si>
  <si>
    <t>Corvidian Shields</t>
  </si>
  <si>
    <t>Deucalios Shields</t>
  </si>
  <si>
    <t>Talassos Shields</t>
  </si>
  <si>
    <t>Meridian Shields</t>
  </si>
  <si>
    <t>Megatron Z4</t>
  </si>
  <si>
    <t>Strength</t>
  </si>
  <si>
    <t>Recharge</t>
  </si>
  <si>
    <t>Directional Thruster</t>
  </si>
  <si>
    <t>Thrust Vector</t>
  </si>
  <si>
    <t>MultiVector</t>
  </si>
  <si>
    <t>SwiftVector</t>
  </si>
  <si>
    <t>Thrust</t>
  </si>
  <si>
    <t>Max Thrust per Size</t>
  </si>
  <si>
    <t>Cruise Thrust per Size</t>
  </si>
  <si>
    <t>Range = 0</t>
  </si>
  <si>
    <t>Energy per Second</t>
  </si>
  <si>
    <t>DPS</t>
  </si>
  <si>
    <t>DPS/Size</t>
  </si>
  <si>
    <t>Energy per Second per Size</t>
  </si>
  <si>
    <t>x</t>
  </si>
  <si>
    <t>v_hyp1</t>
  </si>
  <si>
    <t>v_hyp2</t>
  </si>
  <si>
    <t>p_hyp1</t>
  </si>
  <si>
    <t>p_hyp2</t>
  </si>
  <si>
    <t>num</t>
  </si>
  <si>
    <t>den</t>
  </si>
  <si>
    <t>R_eff</t>
  </si>
  <si>
    <t>Fuel</t>
  </si>
  <si>
    <t>P_stat</t>
  </si>
  <si>
    <t>Rng_hyp1</t>
  </si>
  <si>
    <t>Rng_hyp2</t>
  </si>
  <si>
    <t>Bombing Damage</t>
  </si>
  <si>
    <t>Nuclear Devastator</t>
  </si>
  <si>
    <t>Nuclear Exterminator</t>
  </si>
  <si>
    <t>Bombing DPS</t>
  </si>
  <si>
    <t>Bombing DPS per Size</t>
  </si>
  <si>
    <t>Countermeasures System</t>
  </si>
  <si>
    <t>Fleet Countermeasures System</t>
  </si>
  <si>
    <t>Targetting System</t>
  </si>
  <si>
    <t>Fleet Targetting System</t>
  </si>
  <si>
    <t>ShadowGhost ECM</t>
  </si>
  <si>
    <t>Raptor Targetting System</t>
  </si>
  <si>
    <t>Static Energy</t>
  </si>
  <si>
    <t>Bonus</t>
  </si>
  <si>
    <t>Energy</t>
  </si>
  <si>
    <t>Hyper Deny GW1000</t>
  </si>
  <si>
    <t>Hyper Deny GW4000</t>
  </si>
  <si>
    <t>Gravity Well Projector</t>
  </si>
  <si>
    <t>Notes</t>
  </si>
  <si>
    <t>Jump Inhibition</t>
  </si>
  <si>
    <t>Jump Interdiction</t>
  </si>
  <si>
    <t>Base Strength</t>
  </si>
  <si>
    <t>Bonus Strength</t>
  </si>
  <si>
    <t>Bonus Resource</t>
  </si>
  <si>
    <t>Teekan</t>
  </si>
  <si>
    <t>Atuuk</t>
  </si>
  <si>
    <t>Ketarov</t>
  </si>
  <si>
    <t>Ugnari</t>
  </si>
  <si>
    <t>Securan</t>
  </si>
  <si>
    <t>Shandar</t>
  </si>
  <si>
    <t>Wekkarus</t>
  </si>
  <si>
    <t>Mechanoid</t>
  </si>
  <si>
    <t>Ackdarian</t>
  </si>
  <si>
    <t>Gizurean</t>
  </si>
  <si>
    <t>Quameno</t>
  </si>
  <si>
    <t>Zenox</t>
  </si>
  <si>
    <t>Human</t>
  </si>
  <si>
    <t>Haakonish</t>
  </si>
  <si>
    <t>Dhayut</t>
  </si>
  <si>
    <t>Kiadian</t>
  </si>
  <si>
    <t>Naxxilian</t>
  </si>
  <si>
    <t>Sluken</t>
  </si>
  <si>
    <t>Ikkuro</t>
  </si>
  <si>
    <t>Boskaran</t>
  </si>
  <si>
    <t>Mortalen</t>
  </si>
  <si>
    <t>Shakturi</t>
  </si>
  <si>
    <t>Caguar Fur</t>
  </si>
  <si>
    <t>Nekros Stone</t>
  </si>
  <si>
    <t>Osalia</t>
  </si>
  <si>
    <t>Emeros Crystal</t>
  </si>
  <si>
    <t>Jakanta Ivory</t>
  </si>
  <si>
    <t>Questurian Skin</t>
  </si>
  <si>
    <t>Aculon</t>
  </si>
  <si>
    <t>Upkeep</t>
  </si>
  <si>
    <t>Bombing Alpha per Size</t>
  </si>
  <si>
    <t>Troop Species</t>
  </si>
  <si>
    <t>Max Thrust per Power</t>
  </si>
  <si>
    <t>Cruise Thrust per Power</t>
  </si>
  <si>
    <t>Strength per Size</t>
  </si>
  <si>
    <t>Recharge per Size</t>
  </si>
  <si>
    <t>Time to Recharge (s)</t>
  </si>
  <si>
    <t>Ballistic Cannon</t>
  </si>
  <si>
    <t>Light Rail Gun</t>
  </si>
  <si>
    <t>Heavy Mass Driver</t>
  </si>
  <si>
    <t>Light Mass Driver</t>
  </si>
  <si>
    <t>B.F.G</t>
  </si>
  <si>
    <t>Type I Missile</t>
  </si>
  <si>
    <t>Type II Missile</t>
  </si>
  <si>
    <t>Movement Speed</t>
  </si>
  <si>
    <t>Caslon Missile</t>
  </si>
  <si>
    <t>Antimatter Missile</t>
  </si>
  <si>
    <t>Sub-Space Missile</t>
  </si>
  <si>
    <t>Gravitic Missile</t>
  </si>
  <si>
    <t>X Plasma Thunderbolt</t>
  </si>
  <si>
    <t>X Shockwave</t>
  </si>
  <si>
    <t>X Velocity Shard</t>
  </si>
  <si>
    <t>Tachyon Beam</t>
  </si>
  <si>
    <t>Tachyon Devastator</t>
  </si>
  <si>
    <t>Paratis Hammerhead</t>
  </si>
  <si>
    <t>Sub-Space Torpedo</t>
  </si>
  <si>
    <t>Tachyon Torpedo</t>
  </si>
  <si>
    <t>Gravitic Torpedo</t>
  </si>
  <si>
    <t>Stinger Beam</t>
  </si>
  <si>
    <t>Super Laser</t>
  </si>
  <si>
    <t>Bombardment</t>
  </si>
  <si>
    <t>Loss / 100 Range</t>
  </si>
  <si>
    <t>V</t>
  </si>
  <si>
    <t>VI</t>
  </si>
  <si>
    <t>Alpha StarFighter (x6)</t>
  </si>
  <si>
    <t>Interceptor (x6)</t>
  </si>
  <si>
    <t>Torpedo Bomber (x6)</t>
  </si>
  <si>
    <t>Omega StarBomber (x6)</t>
  </si>
  <si>
    <t>Missile Bomber (x6)</t>
  </si>
  <si>
    <t>Black Edition (x6)</t>
  </si>
  <si>
    <t>Wyrm Fighter</t>
  </si>
  <si>
    <t>Wyrm Bomber</t>
  </si>
  <si>
    <t>2^(x-1)</t>
  </si>
  <si>
    <t>x^1.5</t>
  </si>
  <si>
    <t>linear</t>
  </si>
  <si>
    <t>x+1</t>
  </si>
  <si>
    <t>x*1.5</t>
  </si>
  <si>
    <t>2*(x-1) for x &gt; 1</t>
  </si>
  <si>
    <t>3*(x-2) for x &gt; 2</t>
  </si>
  <si>
    <t>x^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</si>
</sst>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%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gray0625">
        <bgColor theme="6" tint="0.79998168889431442"/>
      </patternFill>
    </fill>
    <fill>
      <patternFill patternType="gray0625">
        <bgColor theme="8" tint="0.59999389629810485"/>
      </patternFill>
    </fill>
    <fill>
      <patternFill patternType="solid">
        <fgColor theme="9" tint="0.59999389629810485"/>
        <bgColor indexed="64"/>
      </patternFill>
    </fill>
    <fill>
      <patternFill patternType="gray0625">
        <bgColor theme="9" tint="0.59999389629810485"/>
      </patternFill>
    </fill>
    <fill>
      <gradientFill degree="45">
        <stop position="0">
          <color theme="7" tint="0.40000610370189521"/>
        </stop>
        <stop position="0.5">
          <color theme="7" tint="0.59999389629810485"/>
        </stop>
        <stop position="1">
          <color theme="7" tint="0.40000610370189521"/>
        </stop>
      </gradientFill>
    </fill>
    <fill>
      <gradientFill degree="45">
        <stop position="0">
          <color theme="5" tint="0.40000610370189521"/>
        </stop>
        <stop position="0.5">
          <color theme="5" tint="0.59999389629810485"/>
        </stop>
        <stop position="1">
          <color theme="5" tint="0.40000610370189521"/>
        </stop>
      </gradientFill>
    </fill>
    <fill>
      <gradientFill degree="45">
        <stop position="0">
          <color theme="3" tint="0.59999389629810485"/>
        </stop>
        <stop position="0.5">
          <color theme="3" tint="0.80001220740379042"/>
        </stop>
        <stop position="1">
          <color theme="3" tint="0.59999389629810485"/>
        </stop>
      </gradientFill>
    </fill>
    <fill>
      <gradientFill degree="45">
        <stop position="0">
          <color theme="9" tint="0.40000610370189521"/>
        </stop>
        <stop position="0.5">
          <color theme="9" tint="0.80001220740379042"/>
        </stop>
        <stop position="1">
          <color theme="9" tint="0.40000610370189521"/>
        </stop>
      </gradientFill>
    </fill>
    <fill>
      <gradientFill degree="45">
        <stop position="0">
          <color theme="9" tint="-0.25098422193060094"/>
        </stop>
        <stop position="0.5">
          <color theme="9" tint="0.59999389629810485"/>
        </stop>
        <stop position="1">
          <color theme="9" tint="-0.25098422193060094"/>
        </stop>
      </gradientFill>
    </fill>
    <fill>
      <patternFill patternType="solid">
        <fgColor rgb="FFC00000"/>
        <bgColor indexed="64"/>
      </patternFill>
    </fill>
    <fill>
      <patternFill patternType="solid">
        <fgColor rgb="FF91395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gradientFill degree="45">
        <stop position="0">
          <color rgb="FF0070C0"/>
        </stop>
        <stop position="0.5">
          <color theme="4" tint="0.59999389629810485"/>
        </stop>
        <stop position="1">
          <color rgb="FF0070C0"/>
        </stop>
      </gradientFill>
    </fill>
    <fill>
      <patternFill patternType="gray0625">
        <bgColor theme="9"/>
      </patternFill>
    </fill>
    <fill>
      <patternFill patternType="gray0625">
        <bgColor rgb="FF00B0F0"/>
      </patternFill>
    </fill>
    <fill>
      <patternFill patternType="gray0625">
        <bgColor rgb="FF002060"/>
      </patternFill>
    </fill>
    <fill>
      <patternFill patternType="solid">
        <fgColor rgb="FF7030A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7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quotePrefix="1" applyBorder="1" applyAlignment="1">
      <alignment horizontal="center"/>
    </xf>
    <xf numFmtId="0" fontId="0" fillId="0" borderId="0" xfId="0" applyAlignment="1">
      <alignment horizontal="center" vertical="center" wrapText="1"/>
    </xf>
    <xf numFmtId="165" fontId="0" fillId="0" borderId="0" xfId="1" applyNumberFormat="1" applyFont="1"/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quotePrefix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4" xfId="0" quotePrefix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4" fontId="0" fillId="0" borderId="38" xfId="0" applyNumberFormat="1" applyBorder="1" applyAlignment="1">
      <alignment horizontal="center"/>
    </xf>
    <xf numFmtId="0" fontId="0" fillId="0" borderId="31" xfId="0" applyBorder="1" applyAlignment="1">
      <alignment horizontal="center" vertical="center"/>
    </xf>
    <xf numFmtId="164" fontId="0" fillId="0" borderId="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10" xfId="1" applyFont="1" applyBorder="1" applyAlignment="1">
      <alignment horizontal="center"/>
    </xf>
    <xf numFmtId="9" fontId="0" fillId="0" borderId="13" xfId="1" applyFont="1" applyBorder="1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2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2" fontId="0" fillId="0" borderId="39" xfId="0" applyNumberFormat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right"/>
    </xf>
    <xf numFmtId="2" fontId="0" fillId="2" borderId="4" xfId="0" applyNumberFormat="1" applyFill="1" applyBorder="1" applyAlignment="1">
      <alignment horizontal="right"/>
    </xf>
    <xf numFmtId="2" fontId="0" fillId="2" borderId="4" xfId="0" quotePrefix="1" applyNumberFormat="1" applyFill="1" applyBorder="1" applyAlignment="1">
      <alignment horizontal="right"/>
    </xf>
    <xf numFmtId="2" fontId="0" fillId="2" borderId="19" xfId="0" quotePrefix="1" applyNumberFormat="1" applyFill="1" applyBorder="1" applyAlignment="1">
      <alignment horizontal="right"/>
    </xf>
    <xf numFmtId="2" fontId="0" fillId="2" borderId="28" xfId="0" applyNumberFormat="1" applyFill="1" applyBorder="1" applyAlignment="1">
      <alignment horizontal="right"/>
    </xf>
    <xf numFmtId="2" fontId="0" fillId="2" borderId="5" xfId="0" quotePrefix="1" applyNumberFormat="1" applyFill="1" applyBorder="1" applyAlignment="1">
      <alignment horizontal="right"/>
    </xf>
    <xf numFmtId="2" fontId="0" fillId="2" borderId="6" xfId="0" applyNumberFormat="1" applyFill="1" applyBorder="1" applyAlignment="1">
      <alignment horizontal="right"/>
    </xf>
    <xf numFmtId="2" fontId="0" fillId="2" borderId="7" xfId="0" applyNumberFormat="1" applyFill="1" applyBorder="1" applyAlignment="1">
      <alignment horizontal="right"/>
    </xf>
    <xf numFmtId="2" fontId="0" fillId="2" borderId="7" xfId="0" quotePrefix="1" applyNumberFormat="1" applyFill="1" applyBorder="1" applyAlignment="1">
      <alignment horizontal="right"/>
    </xf>
    <xf numFmtId="2" fontId="0" fillId="2" borderId="18" xfId="0" quotePrefix="1" applyNumberFormat="1" applyFill="1" applyBorder="1" applyAlignment="1">
      <alignment horizontal="right"/>
    </xf>
    <xf numFmtId="2" fontId="0" fillId="2" borderId="26" xfId="0" applyNumberFormat="1" applyFill="1" applyBorder="1" applyAlignment="1">
      <alignment horizontal="right"/>
    </xf>
    <xf numFmtId="2" fontId="0" fillId="2" borderId="8" xfId="0" quotePrefix="1" applyNumberFormat="1" applyFill="1" applyBorder="1" applyAlignment="1">
      <alignment horizontal="right"/>
    </xf>
    <xf numFmtId="2" fontId="0" fillId="2" borderId="9" xfId="0" applyNumberFormat="1" applyFill="1" applyBorder="1" applyAlignment="1">
      <alignment horizontal="right"/>
    </xf>
    <xf numFmtId="2" fontId="0" fillId="2" borderId="1" xfId="0" applyNumberFormat="1" applyFill="1" applyBorder="1" applyAlignment="1">
      <alignment horizontal="right"/>
    </xf>
    <xf numFmtId="2" fontId="0" fillId="2" borderId="1" xfId="0" quotePrefix="1" applyNumberFormat="1" applyFill="1" applyBorder="1" applyAlignment="1">
      <alignment horizontal="right"/>
    </xf>
    <xf numFmtId="2" fontId="0" fillId="2" borderId="20" xfId="0" quotePrefix="1" applyNumberFormat="1" applyFill="1" applyBorder="1" applyAlignment="1">
      <alignment horizontal="right"/>
    </xf>
    <xf numFmtId="2" fontId="0" fillId="2" borderId="29" xfId="0" applyNumberFormat="1" applyFill="1" applyBorder="1" applyAlignment="1">
      <alignment horizontal="right"/>
    </xf>
    <xf numFmtId="2" fontId="0" fillId="2" borderId="10" xfId="0" quotePrefix="1" applyNumberFormat="1" applyFill="1" applyBorder="1" applyAlignment="1">
      <alignment horizontal="right"/>
    </xf>
    <xf numFmtId="2" fontId="0" fillId="2" borderId="11" xfId="0" applyNumberFormat="1" applyFill="1" applyBorder="1" applyAlignment="1">
      <alignment horizontal="right"/>
    </xf>
    <xf numFmtId="2" fontId="0" fillId="2" borderId="12" xfId="0" applyNumberFormat="1" applyFill="1" applyBorder="1" applyAlignment="1">
      <alignment horizontal="right"/>
    </xf>
    <xf numFmtId="2" fontId="0" fillId="2" borderId="21" xfId="0" quotePrefix="1" applyNumberFormat="1" applyFill="1" applyBorder="1" applyAlignment="1">
      <alignment horizontal="right"/>
    </xf>
    <xf numFmtId="2" fontId="0" fillId="2" borderId="30" xfId="0" applyNumberFormat="1" applyFill="1" applyBorder="1" applyAlignment="1">
      <alignment horizontal="right"/>
    </xf>
    <xf numFmtId="2" fontId="0" fillId="2" borderId="12" xfId="0" quotePrefix="1" applyNumberFormat="1" applyFill="1" applyBorder="1" applyAlignment="1">
      <alignment horizontal="right"/>
    </xf>
    <xf numFmtId="2" fontId="0" fillId="2" borderId="13" xfId="0" quotePrefix="1" applyNumberFormat="1" applyFill="1" applyBorder="1" applyAlignment="1">
      <alignment horizontal="right"/>
    </xf>
    <xf numFmtId="2" fontId="0" fillId="2" borderId="21" xfId="0" applyNumberFormat="1" applyFill="1" applyBorder="1" applyAlignment="1">
      <alignment horizontal="right"/>
    </xf>
    <xf numFmtId="2" fontId="0" fillId="2" borderId="13" xfId="0" applyNumberFormat="1" applyFill="1" applyBorder="1" applyAlignment="1">
      <alignment horizontal="right"/>
    </xf>
    <xf numFmtId="2" fontId="0" fillId="3" borderId="6" xfId="0" applyNumberFormat="1" applyFill="1" applyBorder="1" applyAlignment="1">
      <alignment horizontal="right"/>
    </xf>
    <xf numFmtId="2" fontId="0" fillId="3" borderId="7" xfId="0" applyNumberFormat="1" applyFill="1" applyBorder="1" applyAlignment="1">
      <alignment horizontal="right"/>
    </xf>
    <xf numFmtId="2" fontId="0" fillId="3" borderId="18" xfId="0" applyNumberFormat="1" applyFill="1" applyBorder="1" applyAlignment="1">
      <alignment horizontal="right"/>
    </xf>
    <xf numFmtId="2" fontId="0" fillId="3" borderId="11" xfId="0" applyNumberFormat="1" applyFill="1" applyBorder="1" applyAlignment="1">
      <alignment horizontal="right"/>
    </xf>
    <xf numFmtId="2" fontId="0" fillId="3" borderId="12" xfId="0" applyNumberFormat="1" applyFill="1" applyBorder="1" applyAlignment="1">
      <alignment horizontal="right"/>
    </xf>
    <xf numFmtId="2" fontId="0" fillId="3" borderId="21" xfId="0" applyNumberFormat="1" applyFill="1" applyBorder="1" applyAlignment="1">
      <alignment horizontal="right"/>
    </xf>
    <xf numFmtId="2" fontId="0" fillId="3" borderId="38" xfId="0" applyNumberFormat="1" applyFill="1" applyBorder="1" applyAlignment="1">
      <alignment horizontal="right"/>
    </xf>
    <xf numFmtId="2" fontId="0" fillId="3" borderId="25" xfId="0" applyNumberFormat="1" applyFill="1" applyBorder="1" applyAlignment="1">
      <alignment horizontal="right"/>
    </xf>
    <xf numFmtId="2" fontId="0" fillId="3" borderId="37" xfId="0" applyNumberFormat="1" applyFill="1" applyBorder="1" applyAlignment="1">
      <alignment horizontal="right"/>
    </xf>
    <xf numFmtId="2" fontId="0" fillId="3" borderId="25" xfId="0" quotePrefix="1" applyNumberFormat="1" applyFill="1" applyBorder="1" applyAlignment="1">
      <alignment horizontal="right"/>
    </xf>
    <xf numFmtId="2" fontId="0" fillId="3" borderId="9" xfId="0" applyNumberFormat="1" applyFill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2" fontId="0" fillId="3" borderId="20" xfId="0" applyNumberFormat="1" applyFill="1" applyBorder="1" applyAlignment="1">
      <alignment horizontal="right"/>
    </xf>
    <xf numFmtId="2" fontId="0" fillId="3" borderId="1" xfId="0" quotePrefix="1" applyNumberFormat="1" applyFill="1" applyBorder="1" applyAlignment="1">
      <alignment horizontal="right"/>
    </xf>
    <xf numFmtId="2" fontId="0" fillId="3" borderId="20" xfId="0" quotePrefix="1" applyNumberFormat="1" applyFill="1" applyBorder="1" applyAlignment="1">
      <alignment horizontal="right"/>
    </xf>
    <xf numFmtId="2" fontId="0" fillId="3" borderId="12" xfId="0" quotePrefix="1" applyNumberFormat="1" applyFill="1" applyBorder="1" applyAlignment="1">
      <alignment horizontal="right"/>
    </xf>
    <xf numFmtId="2" fontId="0" fillId="3" borderId="7" xfId="0" quotePrefix="1" applyNumberFormat="1" applyFill="1" applyBorder="1" applyAlignment="1">
      <alignment horizontal="right"/>
    </xf>
    <xf numFmtId="2" fontId="0" fillId="3" borderId="10" xfId="0" applyNumberFormat="1" applyFill="1" applyBorder="1" applyAlignment="1">
      <alignment horizontal="right"/>
    </xf>
    <xf numFmtId="2" fontId="0" fillId="3" borderId="32" xfId="0" applyNumberFormat="1" applyFill="1" applyBorder="1" applyAlignment="1">
      <alignment horizontal="right"/>
    </xf>
    <xf numFmtId="2" fontId="0" fillId="3" borderId="23" xfId="0" applyNumberFormat="1" applyFill="1" applyBorder="1" applyAlignment="1">
      <alignment horizontal="right"/>
    </xf>
    <xf numFmtId="2" fontId="0" fillId="3" borderId="23" xfId="0" quotePrefix="1" applyNumberFormat="1" applyFill="1" applyBorder="1" applyAlignment="1">
      <alignment horizontal="right"/>
    </xf>
    <xf numFmtId="2" fontId="0" fillId="3" borderId="33" xfId="0" quotePrefix="1" applyNumberFormat="1" applyFill="1" applyBorder="1" applyAlignment="1">
      <alignment horizontal="right"/>
    </xf>
    <xf numFmtId="2" fontId="0" fillId="3" borderId="4" xfId="0" applyNumberFormat="1" applyFill="1" applyBorder="1" applyAlignment="1">
      <alignment horizontal="right"/>
    </xf>
    <xf numFmtId="2" fontId="0" fillId="3" borderId="4" xfId="0" quotePrefix="1" applyNumberFormat="1" applyFill="1" applyBorder="1" applyAlignment="1">
      <alignment horizontal="right"/>
    </xf>
    <xf numFmtId="2" fontId="0" fillId="3" borderId="19" xfId="0" quotePrefix="1" applyNumberFormat="1" applyFill="1" applyBorder="1" applyAlignment="1">
      <alignment horizontal="right"/>
    </xf>
    <xf numFmtId="2" fontId="0" fillId="3" borderId="3" xfId="0" applyNumberFormat="1" applyFill="1" applyBorder="1" applyAlignment="1">
      <alignment horizontal="right"/>
    </xf>
    <xf numFmtId="0" fontId="0" fillId="0" borderId="21" xfId="0" applyBorder="1" applyAlignment="1">
      <alignment horizontal="center"/>
    </xf>
    <xf numFmtId="2" fontId="0" fillId="2" borderId="20" xfId="0" applyNumberFormat="1" applyFill="1" applyBorder="1" applyAlignment="1">
      <alignment horizontal="right"/>
    </xf>
    <xf numFmtId="2" fontId="0" fillId="3" borderId="8" xfId="0" applyNumberFormat="1" applyFill="1" applyBorder="1" applyAlignment="1">
      <alignment horizontal="right"/>
    </xf>
    <xf numFmtId="2" fontId="0" fillId="3" borderId="13" xfId="0" applyNumberFormat="1" applyFill="1" applyBorder="1" applyAlignment="1">
      <alignment horizontal="right"/>
    </xf>
    <xf numFmtId="2" fontId="0" fillId="3" borderId="39" xfId="0" quotePrefix="1" applyNumberFormat="1" applyFill="1" applyBorder="1" applyAlignment="1">
      <alignment horizontal="right"/>
    </xf>
    <xf numFmtId="2" fontId="0" fillId="3" borderId="10" xfId="0" quotePrefix="1" applyNumberFormat="1" applyFill="1" applyBorder="1" applyAlignment="1">
      <alignment horizontal="right"/>
    </xf>
    <xf numFmtId="2" fontId="0" fillId="3" borderId="13" xfId="0" quotePrefix="1" applyNumberFormat="1" applyFill="1" applyBorder="1" applyAlignment="1">
      <alignment horizontal="right"/>
    </xf>
    <xf numFmtId="2" fontId="0" fillId="3" borderId="8" xfId="0" quotePrefix="1" applyNumberFormat="1" applyFill="1" applyBorder="1" applyAlignment="1">
      <alignment horizontal="right"/>
    </xf>
    <xf numFmtId="2" fontId="0" fillId="3" borderId="24" xfId="0" applyNumberFormat="1" applyFill="1" applyBorder="1" applyAlignment="1">
      <alignment horizontal="right"/>
    </xf>
    <xf numFmtId="2" fontId="0" fillId="3" borderId="5" xfId="0" applyNumberFormat="1" applyFill="1" applyBorder="1" applyAlignment="1">
      <alignment horizontal="right"/>
    </xf>
    <xf numFmtId="164" fontId="0" fillId="4" borderId="26" xfId="0" applyNumberFormat="1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164" fontId="0" fillId="4" borderId="30" xfId="0" applyNumberFormat="1" applyFill="1" applyBorder="1" applyAlignment="1">
      <alignment horizontal="center"/>
    </xf>
    <xf numFmtId="164" fontId="0" fillId="4" borderId="12" xfId="0" applyNumberFormat="1" applyFill="1" applyBorder="1" applyAlignment="1">
      <alignment horizontal="center"/>
    </xf>
    <xf numFmtId="164" fontId="0" fillId="4" borderId="36" xfId="0" applyNumberFormat="1" applyFill="1" applyBorder="1" applyAlignment="1">
      <alignment horizontal="center"/>
    </xf>
    <xf numFmtId="164" fontId="0" fillId="4" borderId="25" xfId="0" applyNumberFormat="1" applyFill="1" applyBorder="1" applyAlignment="1">
      <alignment horizontal="center"/>
    </xf>
    <xf numFmtId="164" fontId="0" fillId="4" borderId="29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4" borderId="43" xfId="0" applyNumberFormat="1" applyFill="1" applyBorder="1" applyAlignment="1">
      <alignment horizontal="center"/>
    </xf>
    <xf numFmtId="164" fontId="0" fillId="4" borderId="23" xfId="0" applyNumberFormat="1" applyFill="1" applyBorder="1" applyAlignment="1">
      <alignment horizontal="center"/>
    </xf>
    <xf numFmtId="164" fontId="0" fillId="4" borderId="28" xfId="0" applyNumberFormat="1" applyFill="1" applyBorder="1" applyAlignment="1">
      <alignment horizontal="center"/>
    </xf>
    <xf numFmtId="164" fontId="0" fillId="4" borderId="19" xfId="0" applyNumberFormat="1" applyFill="1" applyBorder="1" applyAlignment="1">
      <alignment horizontal="center"/>
    </xf>
    <xf numFmtId="2" fontId="0" fillId="5" borderId="26" xfId="0" applyNumberForma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2" fontId="0" fillId="5" borderId="30" xfId="0" applyNumberFormat="1" applyFill="1" applyBorder="1" applyAlignment="1">
      <alignment horizontal="center"/>
    </xf>
    <xf numFmtId="2" fontId="0" fillId="5" borderId="12" xfId="0" applyNumberFormat="1" applyFill="1" applyBorder="1" applyAlignment="1">
      <alignment horizontal="center"/>
    </xf>
    <xf numFmtId="2" fontId="0" fillId="5" borderId="29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3" borderId="18" xfId="0" quotePrefix="1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26" xfId="0" applyFill="1" applyBorder="1" applyAlignment="1" applyProtection="1">
      <alignment horizontal="center"/>
      <protection locked="0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18" xfId="0" applyFill="1" applyBorder="1" applyAlignment="1" applyProtection="1">
      <alignment horizontal="center"/>
      <protection locked="0"/>
    </xf>
    <xf numFmtId="0" fontId="0" fillId="3" borderId="21" xfId="0" quotePrefix="1" applyFill="1" applyBorder="1" applyAlignment="1" applyProtection="1">
      <alignment horizontal="center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3" borderId="30" xfId="0" applyFill="1" applyBorder="1" applyAlignment="1" applyProtection="1">
      <alignment horizont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3" borderId="21" xfId="0" applyFill="1" applyBorder="1" applyAlignment="1" applyProtection="1">
      <alignment horizontal="center"/>
      <protection locked="0"/>
    </xf>
    <xf numFmtId="0" fontId="0" fillId="3" borderId="37" xfId="0" applyFill="1" applyBorder="1" applyAlignment="1" applyProtection="1">
      <alignment horizontal="center"/>
      <protection locked="0"/>
    </xf>
    <xf numFmtId="0" fontId="0" fillId="3" borderId="39" xfId="0" applyFill="1" applyBorder="1" applyAlignment="1" applyProtection="1">
      <alignment horizontal="center"/>
      <protection locked="0"/>
    </xf>
    <xf numFmtId="0" fontId="0" fillId="3" borderId="36" xfId="0" applyFill="1" applyBorder="1" applyAlignment="1" applyProtection="1">
      <alignment horizontal="center"/>
      <protection locked="0"/>
    </xf>
    <xf numFmtId="0" fontId="0" fillId="3" borderId="25" xfId="0" applyFill="1" applyBorder="1" applyAlignment="1" applyProtection="1">
      <alignment horizontal="center"/>
      <protection locked="0"/>
    </xf>
    <xf numFmtId="0" fontId="0" fillId="3" borderId="20" xfId="0" applyFill="1" applyBorder="1" applyAlignment="1" applyProtection="1">
      <alignment horizontal="center"/>
      <protection locked="0"/>
    </xf>
    <xf numFmtId="0" fontId="0" fillId="3" borderId="10" xfId="0" applyFill="1" applyBorder="1" applyAlignment="1" applyProtection="1">
      <alignment horizontal="center"/>
      <protection locked="0"/>
    </xf>
    <xf numFmtId="0" fontId="0" fillId="3" borderId="29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22" xfId="0" applyFill="1" applyBorder="1" applyAlignment="1" applyProtection="1">
      <alignment horizontal="center"/>
      <protection locked="0"/>
    </xf>
    <xf numFmtId="0" fontId="0" fillId="3" borderId="33" xfId="0" applyFill="1" applyBorder="1" applyAlignment="1" applyProtection="1">
      <alignment horizontal="center"/>
      <protection locked="0"/>
    </xf>
    <xf numFmtId="0" fontId="0" fillId="3" borderId="24" xfId="0" applyFill="1" applyBorder="1" applyAlignment="1" applyProtection="1">
      <alignment horizontal="center"/>
      <protection locked="0"/>
    </xf>
    <xf numFmtId="0" fontId="0" fillId="3" borderId="43" xfId="0" applyFill="1" applyBorder="1" applyAlignment="1" applyProtection="1">
      <alignment horizontal="center"/>
      <protection locked="0"/>
    </xf>
    <xf numFmtId="0" fontId="0" fillId="3" borderId="23" xfId="0" applyFill="1" applyBorder="1" applyAlignment="1" applyProtection="1">
      <alignment horizontal="center"/>
      <protection locked="0"/>
    </xf>
    <xf numFmtId="0" fontId="0" fillId="3" borderId="19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8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2" borderId="18" xfId="0" quotePrefix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21" xfId="0" quotePrefix="1" applyFill="1" applyBorder="1" applyAlignment="1" applyProtection="1">
      <alignment horizontal="center"/>
      <protection locked="0"/>
    </xf>
    <xf numFmtId="0" fontId="0" fillId="2" borderId="13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0" fillId="2" borderId="21" xfId="0" applyFill="1" applyBorder="1" applyAlignment="1" applyProtection="1">
      <alignment horizontal="center"/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29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3" borderId="7" xfId="0" applyFill="1" applyBorder="1" applyAlignment="1" applyProtection="1">
      <alignment horizontal="center"/>
    </xf>
    <xf numFmtId="0" fontId="0" fillId="3" borderId="12" xfId="0" applyFill="1" applyBorder="1" applyAlignment="1" applyProtection="1">
      <alignment horizontal="center"/>
    </xf>
    <xf numFmtId="0" fontId="0" fillId="3" borderId="1" xfId="0" applyFill="1" applyBorder="1" applyAlignment="1" applyProtection="1">
      <alignment horizontal="center"/>
    </xf>
    <xf numFmtId="0" fontId="0" fillId="3" borderId="22" xfId="0" applyFill="1" applyBorder="1" applyAlignment="1" applyProtection="1">
      <alignment horizontal="center"/>
    </xf>
    <xf numFmtId="0" fontId="0" fillId="3" borderId="23" xfId="0" applyFill="1" applyBorder="1" applyAlignment="1" applyProtection="1">
      <alignment horizontal="center"/>
    </xf>
    <xf numFmtId="0" fontId="0" fillId="3" borderId="4" xfId="0" applyFill="1" applyBorder="1" applyAlignment="1" applyProtection="1">
      <alignment horizontal="center"/>
    </xf>
    <xf numFmtId="0" fontId="0" fillId="2" borderId="19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28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49" xfId="0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0" fontId="0" fillId="2" borderId="44" xfId="0" applyFill="1" applyBorder="1" applyAlignment="1" applyProtection="1">
      <alignment horizontal="center"/>
      <protection locked="0"/>
    </xf>
    <xf numFmtId="0" fontId="0" fillId="2" borderId="45" xfId="0" applyFill="1" applyBorder="1" applyAlignment="1" applyProtection="1">
      <alignment horizontal="center"/>
      <protection locked="0"/>
    </xf>
    <xf numFmtId="2" fontId="0" fillId="2" borderId="35" xfId="0" applyNumberFormat="1" applyFill="1" applyBorder="1" applyAlignment="1">
      <alignment horizontal="right"/>
    </xf>
    <xf numFmtId="2" fontId="0" fillId="2" borderId="45" xfId="0" applyNumberFormat="1" applyFill="1" applyBorder="1" applyAlignment="1">
      <alignment horizontal="right"/>
    </xf>
    <xf numFmtId="2" fontId="0" fillId="2" borderId="49" xfId="0" applyNumberFormat="1" applyFill="1" applyBorder="1" applyAlignment="1">
      <alignment horizontal="right"/>
    </xf>
    <xf numFmtId="2" fontId="0" fillId="2" borderId="44" xfId="0" applyNumberFormat="1" applyFill="1" applyBorder="1" applyAlignment="1">
      <alignment horizontal="right"/>
    </xf>
    <xf numFmtId="2" fontId="0" fillId="2" borderId="16" xfId="0" applyNumberFormat="1" applyFill="1" applyBorder="1" applyAlignment="1">
      <alignment horizontal="right"/>
    </xf>
    <xf numFmtId="2" fontId="0" fillId="2" borderId="19" xfId="0" applyNumberFormat="1" applyFill="1" applyBorder="1" applyAlignment="1">
      <alignment horizontal="right"/>
    </xf>
    <xf numFmtId="0" fontId="0" fillId="2" borderId="35" xfId="0" applyFill="1" applyBorder="1" applyAlignment="1">
      <alignment horizontal="center" vertical="center"/>
    </xf>
    <xf numFmtId="2" fontId="0" fillId="5" borderId="28" xfId="0" applyNumberFormat="1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2" fontId="0" fillId="5" borderId="44" xfId="0" applyNumberFormat="1" applyFill="1" applyBorder="1" applyAlignment="1">
      <alignment horizontal="center"/>
    </xf>
    <xf numFmtId="2" fontId="0" fillId="5" borderId="45" xfId="0" applyNumberFormat="1" applyFill="1" applyBorder="1" applyAlignment="1">
      <alignment horizontal="center"/>
    </xf>
    <xf numFmtId="0" fontId="2" fillId="2" borderId="7" xfId="0" applyFont="1" applyFill="1" applyBorder="1" applyAlignment="1" applyProtection="1">
      <alignment horizontal="center"/>
      <protection locked="0"/>
    </xf>
    <xf numFmtId="0" fontId="2" fillId="2" borderId="18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20" xfId="0" applyFont="1" applyFill="1" applyBorder="1" applyAlignment="1" applyProtection="1">
      <alignment horizontal="center"/>
      <protection locked="0"/>
    </xf>
    <xf numFmtId="0" fontId="2" fillId="2" borderId="12" xfId="0" applyFont="1" applyFill="1" applyBorder="1" applyAlignment="1" applyProtection="1">
      <alignment horizontal="center"/>
      <protection locked="0"/>
    </xf>
    <xf numFmtId="0" fontId="2" fillId="2" borderId="21" xfId="0" applyFont="1" applyFill="1" applyBorder="1" applyAlignment="1" applyProtection="1">
      <alignment horizontal="center"/>
      <protection locked="0"/>
    </xf>
    <xf numFmtId="0" fontId="0" fillId="6" borderId="18" xfId="0" applyFill="1" applyBorder="1" applyAlignment="1" applyProtection="1">
      <alignment horizontal="center"/>
      <protection locked="0"/>
    </xf>
    <xf numFmtId="0" fontId="0" fillId="6" borderId="8" xfId="0" applyNumberFormat="1" applyFill="1" applyBorder="1" applyAlignment="1" applyProtection="1">
      <alignment horizontal="center"/>
      <protection locked="0"/>
    </xf>
    <xf numFmtId="0" fontId="0" fillId="6" borderId="26" xfId="0" applyFill="1" applyBorder="1" applyAlignment="1" applyProtection="1">
      <alignment horizontal="center"/>
      <protection locked="0"/>
    </xf>
    <xf numFmtId="0" fontId="0" fillId="6" borderId="7" xfId="0" applyFill="1" applyBorder="1" applyAlignment="1" applyProtection="1">
      <alignment horizontal="center"/>
      <protection locked="0"/>
    </xf>
    <xf numFmtId="0" fontId="0" fillId="6" borderId="8" xfId="0" applyFill="1" applyBorder="1" applyAlignment="1" applyProtection="1">
      <alignment horizontal="center"/>
      <protection locked="0"/>
    </xf>
    <xf numFmtId="164" fontId="0" fillId="7" borderId="26" xfId="0" applyNumberFormat="1" applyFill="1" applyBorder="1" applyAlignment="1">
      <alignment horizontal="center"/>
    </xf>
    <xf numFmtId="164" fontId="0" fillId="7" borderId="7" xfId="0" applyNumberFormat="1" applyFill="1" applyBorder="1" applyAlignment="1">
      <alignment horizontal="center"/>
    </xf>
    <xf numFmtId="2" fontId="0" fillId="6" borderId="6" xfId="0" applyNumberFormat="1" applyFill="1" applyBorder="1" applyAlignment="1">
      <alignment horizontal="right"/>
    </xf>
    <xf numFmtId="2" fontId="0" fillId="6" borderId="7" xfId="0" applyNumberFormat="1" applyFill="1" applyBorder="1" applyAlignment="1">
      <alignment horizontal="right"/>
    </xf>
    <xf numFmtId="2" fontId="0" fillId="6" borderId="7" xfId="0" quotePrefix="1" applyNumberFormat="1" applyFill="1" applyBorder="1" applyAlignment="1">
      <alignment horizontal="right"/>
    </xf>
    <xf numFmtId="2" fontId="0" fillId="6" borderId="18" xfId="0" quotePrefix="1" applyNumberFormat="1" applyFill="1" applyBorder="1" applyAlignment="1">
      <alignment horizontal="right"/>
    </xf>
    <xf numFmtId="2" fontId="0" fillId="6" borderId="8" xfId="0" quotePrefix="1" applyNumberFormat="1" applyFill="1" applyBorder="1" applyAlignment="1">
      <alignment horizontal="right"/>
    </xf>
    <xf numFmtId="0" fontId="0" fillId="6" borderId="1" xfId="0" applyFill="1" applyBorder="1" applyAlignment="1" applyProtection="1">
      <alignment horizontal="center"/>
      <protection locked="0"/>
    </xf>
    <xf numFmtId="0" fontId="0" fillId="6" borderId="10" xfId="0" applyFill="1" applyBorder="1" applyAlignment="1" applyProtection="1">
      <alignment horizontal="center"/>
      <protection locked="0"/>
    </xf>
    <xf numFmtId="164" fontId="0" fillId="7" borderId="29" xfId="0" applyNumberFormat="1" applyFill="1" applyBorder="1" applyAlignment="1">
      <alignment horizontal="center"/>
    </xf>
    <xf numFmtId="2" fontId="0" fillId="6" borderId="9" xfId="0" applyNumberFormat="1" applyFill="1" applyBorder="1" applyAlignment="1">
      <alignment horizontal="right"/>
    </xf>
    <xf numFmtId="2" fontId="0" fillId="6" borderId="1" xfId="0" applyNumberFormat="1" applyFill="1" applyBorder="1" applyAlignment="1">
      <alignment horizontal="right"/>
    </xf>
    <xf numFmtId="2" fontId="0" fillId="6" borderId="1" xfId="0" quotePrefix="1" applyNumberFormat="1" applyFill="1" applyBorder="1" applyAlignment="1">
      <alignment horizontal="right"/>
    </xf>
    <xf numFmtId="2" fontId="0" fillId="6" borderId="20" xfId="0" quotePrefix="1" applyNumberFormat="1" applyFill="1" applyBorder="1" applyAlignment="1">
      <alignment horizontal="right"/>
    </xf>
    <xf numFmtId="2" fontId="0" fillId="6" borderId="10" xfId="0" quotePrefix="1" applyNumberFormat="1" applyFill="1" applyBorder="1" applyAlignment="1">
      <alignment horizontal="right"/>
    </xf>
    <xf numFmtId="0" fontId="0" fillId="6" borderId="21" xfId="0" applyFill="1" applyBorder="1" applyAlignment="1" applyProtection="1">
      <alignment horizontal="center"/>
      <protection locked="0"/>
    </xf>
    <xf numFmtId="0" fontId="0" fillId="6" borderId="13" xfId="0" applyNumberFormat="1" applyFill="1" applyBorder="1" applyAlignment="1" applyProtection="1">
      <alignment horizontal="center"/>
      <protection locked="0"/>
    </xf>
    <xf numFmtId="0" fontId="0" fillId="6" borderId="30" xfId="0" applyFill="1" applyBorder="1" applyAlignment="1" applyProtection="1">
      <alignment horizontal="center"/>
      <protection locked="0"/>
    </xf>
    <xf numFmtId="0" fontId="0" fillId="6" borderId="12" xfId="0" applyFill="1" applyBorder="1" applyAlignment="1" applyProtection="1">
      <alignment horizontal="center"/>
      <protection locked="0"/>
    </xf>
    <xf numFmtId="0" fontId="0" fillId="6" borderId="13" xfId="0" applyFill="1" applyBorder="1" applyAlignment="1" applyProtection="1">
      <alignment horizontal="center"/>
      <protection locked="0"/>
    </xf>
    <xf numFmtId="164" fontId="0" fillId="7" borderId="30" xfId="0" applyNumberFormat="1" applyFill="1" applyBorder="1" applyAlignment="1">
      <alignment horizontal="center"/>
    </xf>
    <xf numFmtId="164" fontId="0" fillId="7" borderId="12" xfId="0" applyNumberFormat="1" applyFill="1" applyBorder="1" applyAlignment="1">
      <alignment horizontal="center"/>
    </xf>
    <xf numFmtId="2" fontId="0" fillId="6" borderId="15" xfId="0" applyNumberFormat="1" applyFill="1" applyBorder="1" applyAlignment="1">
      <alignment horizontal="right"/>
    </xf>
    <xf numFmtId="2" fontId="0" fillId="6" borderId="2" xfId="0" applyNumberFormat="1" applyFill="1" applyBorder="1" applyAlignment="1">
      <alignment horizontal="right"/>
    </xf>
    <xf numFmtId="2" fontId="0" fillId="6" borderId="2" xfId="0" quotePrefix="1" applyNumberFormat="1" applyFill="1" applyBorder="1" applyAlignment="1">
      <alignment horizontal="right"/>
    </xf>
    <xf numFmtId="2" fontId="0" fillId="6" borderId="31" xfId="0" quotePrefix="1" applyNumberFormat="1" applyFill="1" applyBorder="1" applyAlignment="1">
      <alignment horizontal="right"/>
    </xf>
    <xf numFmtId="2" fontId="0" fillId="6" borderId="17" xfId="0" quotePrefix="1" applyNumberFormat="1" applyFill="1" applyBorder="1" applyAlignment="1">
      <alignment horizontal="right"/>
    </xf>
    <xf numFmtId="2" fontId="0" fillId="6" borderId="3" xfId="0" applyNumberFormat="1" applyFill="1" applyBorder="1" applyAlignment="1">
      <alignment horizontal="right"/>
    </xf>
    <xf numFmtId="2" fontId="0" fillId="6" borderId="4" xfId="0" applyNumberFormat="1" applyFill="1" applyBorder="1" applyAlignment="1">
      <alignment horizontal="right"/>
    </xf>
    <xf numFmtId="2" fontId="0" fillId="6" borderId="4" xfId="0" quotePrefix="1" applyNumberFormat="1" applyFill="1" applyBorder="1" applyAlignment="1">
      <alignment horizontal="right"/>
    </xf>
    <xf numFmtId="2" fontId="0" fillId="6" borderId="19" xfId="0" quotePrefix="1" applyNumberFormat="1" applyFill="1" applyBorder="1" applyAlignment="1">
      <alignment horizontal="right"/>
    </xf>
    <xf numFmtId="2" fontId="0" fillId="6" borderId="19" xfId="0" applyNumberFormat="1" applyFill="1" applyBorder="1" applyAlignment="1">
      <alignment horizontal="right"/>
    </xf>
    <xf numFmtId="2" fontId="0" fillId="6" borderId="5" xfId="0" quotePrefix="1" applyNumberFormat="1" applyFill="1" applyBorder="1" applyAlignment="1">
      <alignment horizontal="right"/>
    </xf>
    <xf numFmtId="0" fontId="0" fillId="6" borderId="45" xfId="0" applyFill="1" applyBorder="1" applyAlignment="1" applyProtection="1">
      <alignment horizontal="center"/>
      <protection locked="0"/>
    </xf>
    <xf numFmtId="0" fontId="0" fillId="6" borderId="16" xfId="0" applyFill="1" applyBorder="1" applyAlignment="1" applyProtection="1">
      <alignment horizontal="center"/>
      <protection locked="0"/>
    </xf>
    <xf numFmtId="164" fontId="0" fillId="7" borderId="44" xfId="0" applyNumberFormat="1" applyFill="1" applyBorder="1" applyAlignment="1">
      <alignment horizontal="center"/>
    </xf>
    <xf numFmtId="164" fontId="0" fillId="7" borderId="8" xfId="0" applyNumberFormat="1" applyFill="1" applyBorder="1" applyAlignment="1">
      <alignment horizontal="center"/>
    </xf>
    <xf numFmtId="164" fontId="0" fillId="7" borderId="10" xfId="0" applyNumberFormat="1" applyFill="1" applyBorder="1" applyAlignment="1">
      <alignment horizontal="center"/>
    </xf>
    <xf numFmtId="164" fontId="0" fillId="7" borderId="13" xfId="0" applyNumberFormat="1" applyFill="1" applyBorder="1" applyAlignment="1">
      <alignment horizontal="center"/>
    </xf>
    <xf numFmtId="0" fontId="0" fillId="6" borderId="18" xfId="0" applyNumberFormat="1" applyFill="1" applyBorder="1" applyAlignment="1" applyProtection="1">
      <alignment horizontal="center"/>
      <protection locked="0"/>
    </xf>
    <xf numFmtId="0" fontId="0" fillId="6" borderId="20" xfId="0" applyNumberFormat="1" applyFill="1" applyBorder="1" applyAlignment="1" applyProtection="1">
      <alignment horizontal="center"/>
      <protection locked="0"/>
    </xf>
    <xf numFmtId="0" fontId="0" fillId="6" borderId="21" xfId="0" applyNumberFormat="1" applyFill="1" applyBorder="1" applyAlignment="1" applyProtection="1">
      <alignment horizontal="center"/>
      <protection locked="0"/>
    </xf>
    <xf numFmtId="0" fontId="0" fillId="6" borderId="6" xfId="0" applyFill="1" applyBorder="1" applyAlignment="1" applyProtection="1">
      <alignment horizontal="center"/>
      <protection locked="0"/>
    </xf>
    <xf numFmtId="0" fontId="0" fillId="6" borderId="9" xfId="0" applyFill="1" applyBorder="1" applyAlignment="1" applyProtection="1">
      <alignment horizontal="center"/>
      <protection locked="0"/>
    </xf>
    <xf numFmtId="0" fontId="0" fillId="6" borderId="11" xfId="0" applyFill="1" applyBorder="1" applyAlignment="1" applyProtection="1">
      <alignment horizontal="center"/>
      <protection locked="0"/>
    </xf>
    <xf numFmtId="0" fontId="0" fillId="6" borderId="35" xfId="0" applyFill="1" applyBorder="1" applyAlignment="1">
      <alignment horizontal="center"/>
    </xf>
    <xf numFmtId="0" fontId="0" fillId="6" borderId="45" xfId="0" quotePrefix="1" applyFill="1" applyBorder="1" applyAlignment="1" applyProtection="1">
      <alignment horizontal="center"/>
      <protection locked="0"/>
    </xf>
    <xf numFmtId="0" fontId="0" fillId="6" borderId="49" xfId="0" applyNumberFormat="1" applyFill="1" applyBorder="1" applyAlignment="1" applyProtection="1">
      <alignment horizontal="center"/>
      <protection locked="0"/>
    </xf>
    <xf numFmtId="0" fontId="0" fillId="6" borderId="35" xfId="0" applyFill="1" applyBorder="1" applyAlignment="1" applyProtection="1">
      <alignment horizontal="center"/>
      <protection locked="0"/>
    </xf>
    <xf numFmtId="164" fontId="0" fillId="7" borderId="16" xfId="0" applyNumberFormat="1" applyFill="1" applyBorder="1" applyAlignment="1">
      <alignment horizontal="center"/>
    </xf>
    <xf numFmtId="2" fontId="0" fillId="6" borderId="11" xfId="0" applyNumberFormat="1" applyFill="1" applyBorder="1" applyAlignment="1">
      <alignment horizontal="right"/>
    </xf>
    <xf numFmtId="2" fontId="0" fillId="6" borderId="12" xfId="0" applyNumberFormat="1" applyFill="1" applyBorder="1" applyAlignment="1">
      <alignment horizontal="right"/>
    </xf>
    <xf numFmtId="2" fontId="0" fillId="6" borderId="12" xfId="0" quotePrefix="1" applyNumberFormat="1" applyFill="1" applyBorder="1" applyAlignment="1">
      <alignment horizontal="right"/>
    </xf>
    <xf numFmtId="2" fontId="0" fillId="6" borderId="21" xfId="0" quotePrefix="1" applyNumberFormat="1" applyFill="1" applyBorder="1" applyAlignment="1">
      <alignment horizontal="right"/>
    </xf>
    <xf numFmtId="2" fontId="0" fillId="6" borderId="13" xfId="0" quotePrefix="1" applyNumberFormat="1" applyFill="1" applyBorder="1" applyAlignment="1">
      <alignment horizontal="right"/>
    </xf>
    <xf numFmtId="0" fontId="2" fillId="6" borderId="12" xfId="0" applyFont="1" applyFill="1" applyBorder="1" applyAlignment="1" applyProtection="1">
      <alignment horizontal="center"/>
      <protection locked="0"/>
    </xf>
    <xf numFmtId="0" fontId="0" fillId="8" borderId="18" xfId="0" applyFill="1" applyBorder="1" applyAlignment="1" applyProtection="1">
      <alignment horizontal="center"/>
      <protection locked="0"/>
    </xf>
    <xf numFmtId="0" fontId="0" fillId="8" borderId="8" xfId="0" applyFill="1" applyBorder="1" applyAlignment="1" applyProtection="1">
      <alignment horizontal="center"/>
      <protection locked="0"/>
    </xf>
    <xf numFmtId="0" fontId="2" fillId="8" borderId="26" xfId="0" applyFont="1" applyFill="1" applyBorder="1" applyAlignment="1" applyProtection="1">
      <alignment horizontal="center"/>
      <protection locked="0"/>
    </xf>
    <xf numFmtId="0" fontId="2" fillId="8" borderId="7" xfId="0" applyFont="1" applyFill="1" applyBorder="1" applyAlignment="1" applyProtection="1">
      <alignment horizontal="center"/>
      <protection locked="0"/>
    </xf>
    <xf numFmtId="0" fontId="2" fillId="8" borderId="18" xfId="0" applyFont="1" applyFill="1" applyBorder="1" applyAlignment="1" applyProtection="1">
      <alignment horizontal="center"/>
      <protection locked="0"/>
    </xf>
    <xf numFmtId="0" fontId="2" fillId="8" borderId="8" xfId="0" applyFont="1" applyFill="1" applyBorder="1" applyAlignment="1" applyProtection="1">
      <alignment horizontal="center"/>
      <protection locked="0"/>
    </xf>
    <xf numFmtId="2" fontId="0" fillId="8" borderId="6" xfId="0" applyNumberFormat="1" applyFill="1" applyBorder="1" applyAlignment="1">
      <alignment horizontal="right"/>
    </xf>
    <xf numFmtId="2" fontId="0" fillId="8" borderId="7" xfId="0" applyNumberFormat="1" applyFill="1" applyBorder="1" applyAlignment="1">
      <alignment horizontal="right"/>
    </xf>
    <xf numFmtId="2" fontId="0" fillId="8" borderId="7" xfId="0" quotePrefix="1" applyNumberFormat="1" applyFill="1" applyBorder="1" applyAlignment="1">
      <alignment horizontal="right"/>
    </xf>
    <xf numFmtId="2" fontId="0" fillId="8" borderId="18" xfId="0" quotePrefix="1" applyNumberFormat="1" applyFill="1" applyBorder="1" applyAlignment="1">
      <alignment horizontal="right"/>
    </xf>
    <xf numFmtId="2" fontId="0" fillId="8" borderId="26" xfId="0" applyNumberFormat="1" applyFill="1" applyBorder="1" applyAlignment="1">
      <alignment horizontal="right"/>
    </xf>
    <xf numFmtId="2" fontId="0" fillId="8" borderId="8" xfId="0" quotePrefix="1" applyNumberFormat="1" applyFill="1" applyBorder="1" applyAlignment="1">
      <alignment horizontal="right"/>
    </xf>
    <xf numFmtId="0" fontId="0" fillId="8" borderId="28" xfId="0" applyFill="1" applyBorder="1" applyAlignment="1">
      <alignment horizontal="center" vertical="center"/>
    </xf>
    <xf numFmtId="0" fontId="0" fillId="8" borderId="19" xfId="0" applyFill="1" applyBorder="1" applyAlignment="1" applyProtection="1">
      <alignment horizontal="center"/>
      <protection locked="0"/>
    </xf>
    <xf numFmtId="0" fontId="0" fillId="8" borderId="5" xfId="0" applyFill="1" applyBorder="1" applyAlignment="1" applyProtection="1">
      <alignment horizontal="center"/>
      <protection locked="0"/>
    </xf>
    <xf numFmtId="0" fontId="2" fillId="8" borderId="4" xfId="0" applyFont="1" applyFill="1" applyBorder="1" applyAlignment="1" applyProtection="1">
      <alignment horizontal="center"/>
      <protection locked="0"/>
    </xf>
    <xf numFmtId="0" fontId="2" fillId="8" borderId="19" xfId="0" applyFont="1" applyFill="1" applyBorder="1" applyAlignment="1" applyProtection="1">
      <alignment horizontal="center"/>
      <protection locked="0"/>
    </xf>
    <xf numFmtId="0" fontId="2" fillId="8" borderId="5" xfId="0" applyFont="1" applyFill="1" applyBorder="1" applyAlignment="1" applyProtection="1">
      <alignment horizontal="center"/>
      <protection locked="0"/>
    </xf>
    <xf numFmtId="2" fontId="0" fillId="8" borderId="28" xfId="0" applyNumberFormat="1" applyFill="1" applyBorder="1" applyAlignment="1">
      <alignment horizontal="center"/>
    </xf>
    <xf numFmtId="2" fontId="0" fillId="8" borderId="4" xfId="0" applyNumberFormat="1" applyFill="1" applyBorder="1" applyAlignment="1">
      <alignment horizontal="center"/>
    </xf>
    <xf numFmtId="2" fontId="0" fillId="8" borderId="3" xfId="0" applyNumberFormat="1" applyFill="1" applyBorder="1" applyAlignment="1">
      <alignment horizontal="right"/>
    </xf>
    <xf numFmtId="2" fontId="0" fillId="8" borderId="4" xfId="0" applyNumberFormat="1" applyFill="1" applyBorder="1" applyAlignment="1">
      <alignment horizontal="right"/>
    </xf>
    <xf numFmtId="2" fontId="0" fillId="8" borderId="4" xfId="0" quotePrefix="1" applyNumberFormat="1" applyFill="1" applyBorder="1" applyAlignment="1">
      <alignment horizontal="right"/>
    </xf>
    <xf numFmtId="2" fontId="0" fillId="8" borderId="19" xfId="0" quotePrefix="1" applyNumberFormat="1" applyFill="1" applyBorder="1" applyAlignment="1">
      <alignment horizontal="right"/>
    </xf>
    <xf numFmtId="2" fontId="0" fillId="8" borderId="28" xfId="0" applyNumberFormat="1" applyFill="1" applyBorder="1" applyAlignment="1">
      <alignment horizontal="right"/>
    </xf>
    <xf numFmtId="2" fontId="0" fillId="8" borderId="5" xfId="0" quotePrefix="1" applyNumberFormat="1" applyFill="1" applyBorder="1" applyAlignment="1">
      <alignment horizontal="right"/>
    </xf>
    <xf numFmtId="0" fontId="2" fillId="8" borderId="7" xfId="0" quotePrefix="1" applyFont="1" applyFill="1" applyBorder="1" applyAlignment="1" applyProtection="1">
      <alignment horizontal="center"/>
      <protection locked="0"/>
    </xf>
    <xf numFmtId="0" fontId="0" fillId="8" borderId="20" xfId="0" applyFill="1" applyBorder="1" applyAlignment="1" applyProtection="1">
      <alignment horizontal="center"/>
      <protection locked="0"/>
    </xf>
    <xf numFmtId="0" fontId="0" fillId="8" borderId="10" xfId="0" applyFill="1" applyBorder="1" applyAlignment="1" applyProtection="1">
      <alignment horizontal="center"/>
      <protection locked="0"/>
    </xf>
    <xf numFmtId="0" fontId="2" fillId="8" borderId="29" xfId="0" applyFont="1" applyFill="1" applyBorder="1" applyAlignment="1" applyProtection="1">
      <alignment horizontal="center"/>
      <protection locked="0"/>
    </xf>
    <xf numFmtId="0" fontId="2" fillId="8" borderId="1" xfId="0" applyFont="1" applyFill="1" applyBorder="1" applyAlignment="1" applyProtection="1">
      <alignment horizontal="center"/>
      <protection locked="0"/>
    </xf>
    <xf numFmtId="0" fontId="2" fillId="8" borderId="20" xfId="0" applyFont="1" applyFill="1" applyBorder="1" applyAlignment="1" applyProtection="1">
      <alignment horizontal="center"/>
      <protection locked="0"/>
    </xf>
    <xf numFmtId="0" fontId="2" fillId="8" borderId="10" xfId="0" applyFont="1" applyFill="1" applyBorder="1" applyAlignment="1" applyProtection="1">
      <alignment horizontal="center"/>
      <protection locked="0"/>
    </xf>
    <xf numFmtId="2" fontId="0" fillId="8" borderId="29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2" fontId="0" fillId="8" borderId="9" xfId="0" applyNumberFormat="1" applyFill="1" applyBorder="1" applyAlignment="1">
      <alignment horizontal="right"/>
    </xf>
    <xf numFmtId="2" fontId="0" fillId="8" borderId="1" xfId="0" applyNumberFormat="1" applyFill="1" applyBorder="1" applyAlignment="1">
      <alignment horizontal="right"/>
    </xf>
    <xf numFmtId="2" fontId="0" fillId="8" borderId="1" xfId="0" quotePrefix="1" applyNumberFormat="1" applyFill="1" applyBorder="1" applyAlignment="1">
      <alignment horizontal="right"/>
    </xf>
    <xf numFmtId="2" fontId="0" fillId="8" borderId="20" xfId="0" quotePrefix="1" applyNumberFormat="1" applyFill="1" applyBorder="1" applyAlignment="1">
      <alignment horizontal="right"/>
    </xf>
    <xf numFmtId="2" fontId="0" fillId="8" borderId="29" xfId="0" applyNumberFormat="1" applyFill="1" applyBorder="1" applyAlignment="1">
      <alignment horizontal="right"/>
    </xf>
    <xf numFmtId="2" fontId="0" fillId="8" borderId="10" xfId="0" quotePrefix="1" applyNumberFormat="1" applyFill="1" applyBorder="1" applyAlignment="1">
      <alignment horizontal="right"/>
    </xf>
    <xf numFmtId="0" fontId="0" fillId="8" borderId="21" xfId="0" applyFill="1" applyBorder="1" applyAlignment="1" applyProtection="1">
      <alignment horizontal="center"/>
      <protection locked="0"/>
    </xf>
    <xf numFmtId="0" fontId="0" fillId="8" borderId="13" xfId="0" applyFill="1" applyBorder="1" applyAlignment="1" applyProtection="1">
      <alignment horizontal="center"/>
      <protection locked="0"/>
    </xf>
    <xf numFmtId="0" fontId="2" fillId="8" borderId="30" xfId="0" applyFont="1" applyFill="1" applyBorder="1" applyAlignment="1" applyProtection="1">
      <alignment horizontal="center"/>
      <protection locked="0"/>
    </xf>
    <xf numFmtId="0" fontId="2" fillId="8" borderId="12" xfId="0" applyFont="1" applyFill="1" applyBorder="1" applyAlignment="1" applyProtection="1">
      <alignment horizontal="center"/>
      <protection locked="0"/>
    </xf>
    <xf numFmtId="0" fontId="2" fillId="8" borderId="21" xfId="0" applyFont="1" applyFill="1" applyBorder="1" applyAlignment="1" applyProtection="1">
      <alignment horizontal="center"/>
      <protection locked="0"/>
    </xf>
    <xf numFmtId="0" fontId="2" fillId="8" borderId="13" xfId="0" applyFont="1" applyFill="1" applyBorder="1" applyAlignment="1" applyProtection="1">
      <alignment horizontal="center"/>
      <protection locked="0"/>
    </xf>
    <xf numFmtId="2" fontId="0" fillId="8" borderId="30" xfId="0" applyNumberFormat="1" applyFill="1" applyBorder="1" applyAlignment="1">
      <alignment horizontal="center"/>
    </xf>
    <xf numFmtId="2" fontId="0" fillId="8" borderId="12" xfId="0" applyNumberFormat="1" applyFill="1" applyBorder="1" applyAlignment="1">
      <alignment horizontal="center"/>
    </xf>
    <xf numFmtId="2" fontId="0" fillId="8" borderId="11" xfId="0" applyNumberFormat="1" applyFill="1" applyBorder="1" applyAlignment="1">
      <alignment horizontal="right"/>
    </xf>
    <xf numFmtId="2" fontId="0" fillId="8" borderId="12" xfId="0" applyNumberFormat="1" applyFill="1" applyBorder="1" applyAlignment="1">
      <alignment horizontal="right"/>
    </xf>
    <xf numFmtId="2" fontId="0" fillId="8" borderId="12" xfId="0" quotePrefix="1" applyNumberFormat="1" applyFill="1" applyBorder="1" applyAlignment="1">
      <alignment horizontal="right"/>
    </xf>
    <xf numFmtId="2" fontId="0" fillId="8" borderId="21" xfId="0" quotePrefix="1" applyNumberFormat="1" applyFill="1" applyBorder="1" applyAlignment="1">
      <alignment horizontal="right"/>
    </xf>
    <xf numFmtId="2" fontId="0" fillId="8" borderId="30" xfId="0" applyNumberFormat="1" applyFill="1" applyBorder="1" applyAlignment="1">
      <alignment horizontal="right"/>
    </xf>
    <xf numFmtId="2" fontId="0" fillId="8" borderId="13" xfId="0" quotePrefix="1" applyNumberFormat="1" applyFill="1" applyBorder="1" applyAlignment="1">
      <alignment horizontal="right"/>
    </xf>
    <xf numFmtId="2" fontId="0" fillId="8" borderId="26" xfId="0" quotePrefix="1" applyNumberFormat="1" applyFill="1" applyBorder="1" applyAlignment="1">
      <alignment horizontal="center"/>
    </xf>
    <xf numFmtId="0" fontId="0" fillId="9" borderId="7" xfId="0" applyFill="1" applyBorder="1" applyAlignment="1" applyProtection="1">
      <alignment horizontal="center"/>
      <protection locked="0"/>
    </xf>
    <xf numFmtId="0" fontId="0" fillId="9" borderId="8" xfId="0" applyFill="1" applyBorder="1" applyAlignment="1" applyProtection="1">
      <alignment horizontal="center"/>
      <protection locked="0"/>
    </xf>
    <xf numFmtId="0" fontId="2" fillId="9" borderId="26" xfId="0" applyFont="1" applyFill="1" applyBorder="1" applyAlignment="1" applyProtection="1">
      <alignment horizontal="center"/>
      <protection locked="0"/>
    </xf>
    <xf numFmtId="0" fontId="2" fillId="9" borderId="7" xfId="0" applyFont="1" applyFill="1" applyBorder="1" applyAlignment="1" applyProtection="1">
      <alignment horizontal="center"/>
      <protection locked="0"/>
    </xf>
    <xf numFmtId="0" fontId="2" fillId="9" borderId="18" xfId="0" applyFont="1" applyFill="1" applyBorder="1" applyAlignment="1" applyProtection="1">
      <alignment horizontal="center"/>
      <protection locked="0"/>
    </xf>
    <xf numFmtId="0" fontId="2" fillId="9" borderId="8" xfId="0" applyFont="1" applyFill="1" applyBorder="1" applyAlignment="1" applyProtection="1">
      <alignment horizontal="center"/>
      <protection locked="0"/>
    </xf>
    <xf numFmtId="2" fontId="0" fillId="9" borderId="26" xfId="0" applyNumberFormat="1" applyFill="1" applyBorder="1" applyAlignment="1">
      <alignment horizontal="center"/>
    </xf>
    <xf numFmtId="2" fontId="0" fillId="9" borderId="7" xfId="0" applyNumberFormat="1" applyFill="1" applyBorder="1" applyAlignment="1">
      <alignment horizontal="center"/>
    </xf>
    <xf numFmtId="2" fontId="0" fillId="9" borderId="6" xfId="0" applyNumberFormat="1" applyFill="1" applyBorder="1" applyAlignment="1">
      <alignment horizontal="right"/>
    </xf>
    <xf numFmtId="2" fontId="0" fillId="9" borderId="7" xfId="0" applyNumberFormat="1" applyFill="1" applyBorder="1" applyAlignment="1">
      <alignment horizontal="right"/>
    </xf>
    <xf numFmtId="2" fontId="0" fillId="9" borderId="7" xfId="0" quotePrefix="1" applyNumberFormat="1" applyFill="1" applyBorder="1" applyAlignment="1">
      <alignment horizontal="right"/>
    </xf>
    <xf numFmtId="2" fontId="0" fillId="9" borderId="18" xfId="0" quotePrefix="1" applyNumberFormat="1" applyFill="1" applyBorder="1" applyAlignment="1">
      <alignment horizontal="right"/>
    </xf>
    <xf numFmtId="2" fontId="0" fillId="9" borderId="26" xfId="0" applyNumberFormat="1" applyFill="1" applyBorder="1" applyAlignment="1">
      <alignment horizontal="right"/>
    </xf>
    <xf numFmtId="2" fontId="0" fillId="9" borderId="8" xfId="0" quotePrefix="1" applyNumberFormat="1" applyFill="1" applyBorder="1" applyAlignment="1">
      <alignment horizontal="right"/>
    </xf>
    <xf numFmtId="0" fontId="0" fillId="9" borderId="1" xfId="0" applyFill="1" applyBorder="1" applyAlignment="1" applyProtection="1">
      <alignment horizontal="center"/>
      <protection locked="0"/>
    </xf>
    <xf numFmtId="0" fontId="0" fillId="9" borderId="10" xfId="0" applyFill="1" applyBorder="1" applyAlignment="1" applyProtection="1">
      <alignment horizontal="center"/>
      <protection locked="0"/>
    </xf>
    <xf numFmtId="0" fontId="2" fillId="9" borderId="29" xfId="0" applyFont="1" applyFill="1" applyBorder="1" applyAlignment="1" applyProtection="1">
      <alignment horizontal="center"/>
      <protection locked="0"/>
    </xf>
    <xf numFmtId="0" fontId="2" fillId="9" borderId="1" xfId="0" applyFont="1" applyFill="1" applyBorder="1" applyAlignment="1" applyProtection="1">
      <alignment horizontal="center"/>
      <protection locked="0"/>
    </xf>
    <xf numFmtId="0" fontId="2" fillId="9" borderId="20" xfId="0" applyFont="1" applyFill="1" applyBorder="1" applyAlignment="1" applyProtection="1">
      <alignment horizontal="center"/>
      <protection locked="0"/>
    </xf>
    <xf numFmtId="0" fontId="2" fillId="9" borderId="10" xfId="0" applyFont="1" applyFill="1" applyBorder="1" applyAlignment="1" applyProtection="1">
      <alignment horizontal="center"/>
      <protection locked="0"/>
    </xf>
    <xf numFmtId="2" fontId="0" fillId="9" borderId="29" xfId="0" applyNumberFormat="1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2" fontId="0" fillId="9" borderId="9" xfId="0" applyNumberFormat="1" applyFill="1" applyBorder="1" applyAlignment="1">
      <alignment horizontal="right"/>
    </xf>
    <xf numFmtId="2" fontId="0" fillId="9" borderId="1" xfId="0" applyNumberFormat="1" applyFill="1" applyBorder="1" applyAlignment="1">
      <alignment horizontal="right"/>
    </xf>
    <xf numFmtId="2" fontId="0" fillId="9" borderId="1" xfId="0" quotePrefix="1" applyNumberFormat="1" applyFill="1" applyBorder="1" applyAlignment="1">
      <alignment horizontal="right"/>
    </xf>
    <xf numFmtId="2" fontId="0" fillId="9" borderId="20" xfId="0" quotePrefix="1" applyNumberFormat="1" applyFill="1" applyBorder="1" applyAlignment="1">
      <alignment horizontal="right"/>
    </xf>
    <xf numFmtId="2" fontId="0" fillId="9" borderId="29" xfId="0" applyNumberFormat="1" applyFill="1" applyBorder="1" applyAlignment="1">
      <alignment horizontal="right"/>
    </xf>
    <xf numFmtId="2" fontId="0" fillId="9" borderId="10" xfId="0" quotePrefix="1" applyNumberFormat="1" applyFill="1" applyBorder="1" applyAlignment="1">
      <alignment horizontal="right"/>
    </xf>
    <xf numFmtId="0" fontId="0" fillId="9" borderId="12" xfId="0" applyFill="1" applyBorder="1" applyAlignment="1" applyProtection="1">
      <alignment horizontal="center"/>
      <protection locked="0"/>
    </xf>
    <xf numFmtId="0" fontId="0" fillId="9" borderId="13" xfId="0" applyFill="1" applyBorder="1" applyAlignment="1" applyProtection="1">
      <alignment horizontal="center"/>
      <protection locked="0"/>
    </xf>
    <xf numFmtId="0" fontId="2" fillId="9" borderId="30" xfId="0" applyFont="1" applyFill="1" applyBorder="1" applyAlignment="1" applyProtection="1">
      <alignment horizontal="center"/>
      <protection locked="0"/>
    </xf>
    <xf numFmtId="0" fontId="2" fillId="9" borderId="12" xfId="0" applyFont="1" applyFill="1" applyBorder="1" applyAlignment="1" applyProtection="1">
      <alignment horizontal="center"/>
      <protection locked="0"/>
    </xf>
    <xf numFmtId="0" fontId="2" fillId="9" borderId="21" xfId="0" applyFont="1" applyFill="1" applyBorder="1" applyAlignment="1" applyProtection="1">
      <alignment horizontal="center"/>
      <protection locked="0"/>
    </xf>
    <xf numFmtId="0" fontId="2" fillId="9" borderId="13" xfId="0" applyFont="1" applyFill="1" applyBorder="1" applyAlignment="1" applyProtection="1">
      <alignment horizontal="center"/>
      <protection locked="0"/>
    </xf>
    <xf numFmtId="2" fontId="0" fillId="9" borderId="30" xfId="0" applyNumberFormat="1" applyFill="1" applyBorder="1" applyAlignment="1">
      <alignment horizontal="center"/>
    </xf>
    <xf numFmtId="2" fontId="0" fillId="9" borderId="12" xfId="0" applyNumberFormat="1" applyFill="1" applyBorder="1" applyAlignment="1">
      <alignment horizontal="center"/>
    </xf>
    <xf numFmtId="2" fontId="0" fillId="9" borderId="11" xfId="0" applyNumberFormat="1" applyFill="1" applyBorder="1" applyAlignment="1">
      <alignment horizontal="right"/>
    </xf>
    <xf numFmtId="2" fontId="0" fillId="9" borderId="12" xfId="0" applyNumberFormat="1" applyFill="1" applyBorder="1" applyAlignment="1">
      <alignment horizontal="right"/>
    </xf>
    <xf numFmtId="2" fontId="0" fillId="9" borderId="12" xfId="0" quotePrefix="1" applyNumberFormat="1" applyFill="1" applyBorder="1" applyAlignment="1">
      <alignment horizontal="right"/>
    </xf>
    <xf numFmtId="2" fontId="0" fillId="9" borderId="21" xfId="0" quotePrefix="1" applyNumberFormat="1" applyFill="1" applyBorder="1" applyAlignment="1">
      <alignment horizontal="right"/>
    </xf>
    <xf numFmtId="2" fontId="0" fillId="9" borderId="30" xfId="0" applyNumberFormat="1" applyFill="1" applyBorder="1" applyAlignment="1">
      <alignment horizontal="right"/>
    </xf>
    <xf numFmtId="2" fontId="0" fillId="9" borderId="13" xfId="0" quotePrefix="1" applyNumberFormat="1" applyFill="1" applyBorder="1" applyAlignment="1">
      <alignment horizontal="right"/>
    </xf>
    <xf numFmtId="0" fontId="0" fillId="9" borderId="28" xfId="0" applyFill="1" applyBorder="1" applyAlignment="1">
      <alignment horizontal="center" vertical="center"/>
    </xf>
    <xf numFmtId="0" fontId="0" fillId="9" borderId="19" xfId="0" applyFill="1" applyBorder="1" applyAlignment="1" applyProtection="1">
      <alignment horizontal="center"/>
      <protection locked="0"/>
    </xf>
    <xf numFmtId="0" fontId="0" fillId="9" borderId="5" xfId="0" applyFill="1" applyBorder="1" applyAlignment="1" applyProtection="1">
      <alignment horizontal="center"/>
      <protection locked="0"/>
    </xf>
    <xf numFmtId="0" fontId="2" fillId="9" borderId="4" xfId="0" applyFont="1" applyFill="1" applyBorder="1" applyAlignment="1" applyProtection="1">
      <alignment horizontal="center"/>
      <protection locked="0"/>
    </xf>
    <xf numFmtId="0" fontId="2" fillId="9" borderId="19" xfId="0" applyFont="1" applyFill="1" applyBorder="1" applyAlignment="1" applyProtection="1">
      <alignment horizontal="center"/>
      <protection locked="0"/>
    </xf>
    <xf numFmtId="0" fontId="2" fillId="9" borderId="5" xfId="0" applyFont="1" applyFill="1" applyBorder="1" applyAlignment="1" applyProtection="1">
      <alignment horizontal="center"/>
      <protection locked="0"/>
    </xf>
    <xf numFmtId="2" fontId="0" fillId="9" borderId="4" xfId="0" applyNumberFormat="1" applyFill="1" applyBorder="1" applyAlignment="1">
      <alignment horizontal="center"/>
    </xf>
    <xf numFmtId="2" fontId="0" fillId="9" borderId="3" xfId="0" applyNumberFormat="1" applyFill="1" applyBorder="1" applyAlignment="1">
      <alignment horizontal="right"/>
    </xf>
    <xf numFmtId="2" fontId="0" fillId="9" borderId="4" xfId="0" applyNumberFormat="1" applyFill="1" applyBorder="1" applyAlignment="1">
      <alignment horizontal="right"/>
    </xf>
    <xf numFmtId="2" fontId="0" fillId="9" borderId="4" xfId="0" quotePrefix="1" applyNumberFormat="1" applyFill="1" applyBorder="1" applyAlignment="1">
      <alignment horizontal="right"/>
    </xf>
    <xf numFmtId="2" fontId="0" fillId="9" borderId="19" xfId="0" quotePrefix="1" applyNumberFormat="1" applyFill="1" applyBorder="1" applyAlignment="1">
      <alignment horizontal="right"/>
    </xf>
    <xf numFmtId="2" fontId="0" fillId="9" borderId="28" xfId="0" applyNumberFormat="1" applyFill="1" applyBorder="1" applyAlignment="1">
      <alignment horizontal="right"/>
    </xf>
    <xf numFmtId="2" fontId="0" fillId="9" borderId="5" xfId="0" quotePrefix="1" applyNumberFormat="1" applyFill="1" applyBorder="1" applyAlignment="1">
      <alignment horizontal="right"/>
    </xf>
    <xf numFmtId="0" fontId="0" fillId="10" borderId="18" xfId="0" applyFill="1" applyBorder="1" applyAlignment="1" applyProtection="1">
      <alignment horizontal="center"/>
      <protection locked="0"/>
    </xf>
    <xf numFmtId="0" fontId="0" fillId="10" borderId="8" xfId="0" applyFill="1" applyBorder="1" applyAlignment="1" applyProtection="1">
      <alignment horizontal="center"/>
      <protection locked="0"/>
    </xf>
    <xf numFmtId="0" fontId="2" fillId="10" borderId="26" xfId="0" applyFont="1" applyFill="1" applyBorder="1" applyAlignment="1" applyProtection="1">
      <alignment horizontal="center"/>
      <protection locked="0"/>
    </xf>
    <xf numFmtId="0" fontId="2" fillId="10" borderId="7" xfId="0" applyFont="1" applyFill="1" applyBorder="1" applyAlignment="1" applyProtection="1">
      <alignment horizontal="center"/>
      <protection locked="0"/>
    </xf>
    <xf numFmtId="0" fontId="2" fillId="10" borderId="18" xfId="0" applyFont="1" applyFill="1" applyBorder="1" applyAlignment="1" applyProtection="1">
      <alignment horizontal="center"/>
      <protection locked="0"/>
    </xf>
    <xf numFmtId="0" fontId="2" fillId="10" borderId="8" xfId="0" applyFont="1" applyFill="1" applyBorder="1" applyAlignment="1" applyProtection="1">
      <alignment horizontal="center"/>
      <protection locked="0"/>
    </xf>
    <xf numFmtId="2" fontId="0" fillId="10" borderId="26" xfId="0" applyNumberFormat="1" applyFill="1" applyBorder="1" applyAlignment="1">
      <alignment horizontal="center"/>
    </xf>
    <xf numFmtId="2" fontId="0" fillId="10" borderId="7" xfId="0" applyNumberFormat="1" applyFill="1" applyBorder="1" applyAlignment="1">
      <alignment horizontal="center"/>
    </xf>
    <xf numFmtId="2" fontId="0" fillId="10" borderId="6" xfId="0" applyNumberFormat="1" applyFill="1" applyBorder="1" applyAlignment="1">
      <alignment horizontal="right"/>
    </xf>
    <xf numFmtId="2" fontId="0" fillId="10" borderId="7" xfId="0" applyNumberFormat="1" applyFill="1" applyBorder="1" applyAlignment="1">
      <alignment horizontal="right"/>
    </xf>
    <xf numFmtId="2" fontId="0" fillId="10" borderId="7" xfId="0" quotePrefix="1" applyNumberFormat="1" applyFill="1" applyBorder="1" applyAlignment="1">
      <alignment horizontal="right"/>
    </xf>
    <xf numFmtId="2" fontId="0" fillId="10" borderId="18" xfId="0" quotePrefix="1" applyNumberFormat="1" applyFill="1" applyBorder="1" applyAlignment="1">
      <alignment horizontal="right"/>
    </xf>
    <xf numFmtId="2" fontId="0" fillId="10" borderId="26" xfId="0" applyNumberFormat="1" applyFill="1" applyBorder="1" applyAlignment="1">
      <alignment horizontal="right"/>
    </xf>
    <xf numFmtId="2" fontId="0" fillId="10" borderId="8" xfId="0" quotePrefix="1" applyNumberFormat="1" applyFill="1" applyBorder="1" applyAlignment="1">
      <alignment horizontal="right"/>
    </xf>
    <xf numFmtId="0" fontId="0" fillId="10" borderId="20" xfId="0" applyFill="1" applyBorder="1" applyAlignment="1" applyProtection="1">
      <alignment horizontal="center"/>
      <protection locked="0"/>
    </xf>
    <xf numFmtId="0" fontId="0" fillId="10" borderId="10" xfId="0" applyFill="1" applyBorder="1" applyAlignment="1" applyProtection="1">
      <alignment horizontal="center"/>
      <protection locked="0"/>
    </xf>
    <xf numFmtId="0" fontId="2" fillId="10" borderId="29" xfId="0" applyFont="1" applyFill="1" applyBorder="1" applyAlignment="1" applyProtection="1">
      <alignment horizontal="center"/>
      <protection locked="0"/>
    </xf>
    <xf numFmtId="0" fontId="2" fillId="10" borderId="1" xfId="0" applyFont="1" applyFill="1" applyBorder="1" applyAlignment="1" applyProtection="1">
      <alignment horizontal="center"/>
      <protection locked="0"/>
    </xf>
    <xf numFmtId="0" fontId="2" fillId="10" borderId="20" xfId="0" applyFont="1" applyFill="1" applyBorder="1" applyAlignment="1" applyProtection="1">
      <alignment horizontal="center"/>
      <protection locked="0"/>
    </xf>
    <xf numFmtId="0" fontId="2" fillId="10" borderId="10" xfId="0" applyFont="1" applyFill="1" applyBorder="1" applyAlignment="1" applyProtection="1">
      <alignment horizontal="center"/>
      <protection locked="0"/>
    </xf>
    <xf numFmtId="2" fontId="0" fillId="10" borderId="29" xfId="0" applyNumberFormat="1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2" fontId="0" fillId="10" borderId="9" xfId="0" applyNumberFormat="1" applyFill="1" applyBorder="1" applyAlignment="1">
      <alignment horizontal="right"/>
    </xf>
    <xf numFmtId="2" fontId="0" fillId="10" borderId="1" xfId="0" applyNumberFormat="1" applyFill="1" applyBorder="1" applyAlignment="1">
      <alignment horizontal="right"/>
    </xf>
    <xf numFmtId="2" fontId="0" fillId="10" borderId="1" xfId="0" quotePrefix="1" applyNumberFormat="1" applyFill="1" applyBorder="1" applyAlignment="1">
      <alignment horizontal="right"/>
    </xf>
    <xf numFmtId="2" fontId="0" fillId="10" borderId="20" xfId="0" quotePrefix="1" applyNumberFormat="1" applyFill="1" applyBorder="1" applyAlignment="1">
      <alignment horizontal="right"/>
    </xf>
    <xf numFmtId="2" fontId="0" fillId="10" borderId="29" xfId="0" applyNumberFormat="1" applyFill="1" applyBorder="1" applyAlignment="1">
      <alignment horizontal="right"/>
    </xf>
    <xf numFmtId="2" fontId="0" fillId="10" borderId="10" xfId="0" quotePrefix="1" applyNumberFormat="1" applyFill="1" applyBorder="1" applyAlignment="1">
      <alignment horizontal="right"/>
    </xf>
    <xf numFmtId="0" fontId="0" fillId="10" borderId="21" xfId="0" applyFill="1" applyBorder="1" applyAlignment="1" applyProtection="1">
      <alignment horizontal="center"/>
      <protection locked="0"/>
    </xf>
    <xf numFmtId="0" fontId="0" fillId="10" borderId="13" xfId="0" applyFill="1" applyBorder="1" applyAlignment="1" applyProtection="1">
      <alignment horizontal="center"/>
      <protection locked="0"/>
    </xf>
    <xf numFmtId="0" fontId="2" fillId="10" borderId="30" xfId="0" applyFont="1" applyFill="1" applyBorder="1" applyAlignment="1" applyProtection="1">
      <alignment horizontal="center"/>
      <protection locked="0"/>
    </xf>
    <xf numFmtId="0" fontId="2" fillId="10" borderId="12" xfId="0" applyFont="1" applyFill="1" applyBorder="1" applyAlignment="1" applyProtection="1">
      <alignment horizontal="center"/>
      <protection locked="0"/>
    </xf>
    <xf numFmtId="0" fontId="2" fillId="10" borderId="21" xfId="0" applyFont="1" applyFill="1" applyBorder="1" applyAlignment="1" applyProtection="1">
      <alignment horizontal="center"/>
      <protection locked="0"/>
    </xf>
    <xf numFmtId="0" fontId="2" fillId="10" borderId="13" xfId="0" applyFont="1" applyFill="1" applyBorder="1" applyAlignment="1" applyProtection="1">
      <alignment horizontal="center"/>
      <protection locked="0"/>
    </xf>
    <xf numFmtId="2" fontId="0" fillId="10" borderId="30" xfId="0" applyNumberFormat="1" applyFill="1" applyBorder="1" applyAlignment="1">
      <alignment horizontal="center"/>
    </xf>
    <xf numFmtId="2" fontId="0" fillId="10" borderId="12" xfId="0" applyNumberFormat="1" applyFill="1" applyBorder="1" applyAlignment="1">
      <alignment horizontal="center"/>
    </xf>
    <xf numFmtId="2" fontId="0" fillId="10" borderId="11" xfId="0" applyNumberFormat="1" applyFill="1" applyBorder="1" applyAlignment="1">
      <alignment horizontal="right"/>
    </xf>
    <xf numFmtId="2" fontId="0" fillId="10" borderId="12" xfId="0" applyNumberFormat="1" applyFill="1" applyBorder="1" applyAlignment="1">
      <alignment horizontal="right"/>
    </xf>
    <xf numFmtId="2" fontId="0" fillId="10" borderId="12" xfId="0" quotePrefix="1" applyNumberFormat="1" applyFill="1" applyBorder="1" applyAlignment="1">
      <alignment horizontal="right"/>
    </xf>
    <xf numFmtId="2" fontId="0" fillId="10" borderId="21" xfId="0" quotePrefix="1" applyNumberFormat="1" applyFill="1" applyBorder="1" applyAlignment="1">
      <alignment horizontal="right"/>
    </xf>
    <xf numFmtId="2" fontId="0" fillId="10" borderId="30" xfId="0" applyNumberFormat="1" applyFill="1" applyBorder="1" applyAlignment="1">
      <alignment horizontal="right"/>
    </xf>
    <xf numFmtId="2" fontId="0" fillId="10" borderId="13" xfId="0" quotePrefix="1" applyNumberFormat="1" applyFill="1" applyBorder="1" applyAlignment="1">
      <alignment horizontal="right"/>
    </xf>
    <xf numFmtId="0" fontId="0" fillId="10" borderId="28" xfId="0" applyFill="1" applyBorder="1" applyAlignment="1">
      <alignment horizontal="center" vertical="center"/>
    </xf>
    <xf numFmtId="0" fontId="0" fillId="10" borderId="19" xfId="0" applyFill="1" applyBorder="1" applyAlignment="1" applyProtection="1">
      <alignment horizontal="center"/>
      <protection locked="0"/>
    </xf>
    <xf numFmtId="0" fontId="0" fillId="10" borderId="5" xfId="0" applyFill="1" applyBorder="1" applyAlignment="1" applyProtection="1">
      <alignment horizontal="center"/>
      <protection locked="0"/>
    </xf>
    <xf numFmtId="0" fontId="2" fillId="10" borderId="28" xfId="0" applyFont="1" applyFill="1" applyBorder="1" applyAlignment="1" applyProtection="1">
      <alignment horizontal="center"/>
      <protection locked="0"/>
    </xf>
    <xf numFmtId="0" fontId="2" fillId="10" borderId="4" xfId="0" applyFont="1" applyFill="1" applyBorder="1" applyAlignment="1" applyProtection="1">
      <alignment horizontal="center"/>
      <protection locked="0"/>
    </xf>
    <xf numFmtId="0" fontId="2" fillId="10" borderId="19" xfId="0" applyFont="1" applyFill="1" applyBorder="1" applyAlignment="1" applyProtection="1">
      <alignment horizontal="center"/>
      <protection locked="0"/>
    </xf>
    <xf numFmtId="0" fontId="2" fillId="10" borderId="5" xfId="0" applyFont="1" applyFill="1" applyBorder="1" applyAlignment="1" applyProtection="1">
      <alignment horizontal="center"/>
      <protection locked="0"/>
    </xf>
    <xf numFmtId="2" fontId="0" fillId="10" borderId="28" xfId="0" applyNumberFormat="1" applyFill="1" applyBorder="1" applyAlignment="1">
      <alignment horizontal="center"/>
    </xf>
    <xf numFmtId="2" fontId="0" fillId="10" borderId="4" xfId="0" applyNumberFormat="1" applyFill="1" applyBorder="1" applyAlignment="1">
      <alignment horizontal="center"/>
    </xf>
    <xf numFmtId="2" fontId="0" fillId="10" borderId="3" xfId="0" applyNumberFormat="1" applyFill="1" applyBorder="1" applyAlignment="1">
      <alignment horizontal="right"/>
    </xf>
    <xf numFmtId="2" fontId="0" fillId="10" borderId="4" xfId="0" applyNumberFormat="1" applyFill="1" applyBorder="1" applyAlignment="1">
      <alignment horizontal="right"/>
    </xf>
    <xf numFmtId="2" fontId="0" fillId="10" borderId="4" xfId="0" quotePrefix="1" applyNumberFormat="1" applyFill="1" applyBorder="1" applyAlignment="1">
      <alignment horizontal="right"/>
    </xf>
    <xf numFmtId="2" fontId="0" fillId="10" borderId="19" xfId="0" quotePrefix="1" applyNumberFormat="1" applyFill="1" applyBorder="1" applyAlignment="1">
      <alignment horizontal="right"/>
    </xf>
    <xf numFmtId="2" fontId="0" fillId="10" borderId="28" xfId="0" applyNumberFormat="1" applyFill="1" applyBorder="1" applyAlignment="1">
      <alignment horizontal="right"/>
    </xf>
    <xf numFmtId="2" fontId="0" fillId="10" borderId="5" xfId="0" quotePrefix="1" applyNumberFormat="1" applyFill="1" applyBorder="1" applyAlignment="1">
      <alignment horizontal="right"/>
    </xf>
    <xf numFmtId="0" fontId="0" fillId="11" borderId="18" xfId="0" applyFill="1" applyBorder="1" applyAlignment="1" applyProtection="1">
      <alignment horizontal="center"/>
      <protection locked="0"/>
    </xf>
    <xf numFmtId="0" fontId="0" fillId="11" borderId="8" xfId="0" applyFill="1" applyBorder="1" applyAlignment="1" applyProtection="1">
      <alignment horizontal="center"/>
      <protection locked="0"/>
    </xf>
    <xf numFmtId="0" fontId="2" fillId="11" borderId="7" xfId="0" applyFont="1" applyFill="1" applyBorder="1" applyAlignment="1" applyProtection="1">
      <alignment horizontal="center"/>
      <protection locked="0"/>
    </xf>
    <xf numFmtId="0" fontId="2" fillId="11" borderId="7" xfId="0" quotePrefix="1" applyFont="1" applyFill="1" applyBorder="1" applyAlignment="1" applyProtection="1">
      <alignment horizontal="center"/>
      <protection locked="0"/>
    </xf>
    <xf numFmtId="0" fontId="2" fillId="11" borderId="18" xfId="0" applyFont="1" applyFill="1" applyBorder="1" applyAlignment="1" applyProtection="1">
      <alignment horizontal="center"/>
      <protection locked="0"/>
    </xf>
    <xf numFmtId="0" fontId="2" fillId="11" borderId="8" xfId="0" applyFont="1" applyFill="1" applyBorder="1" applyAlignment="1" applyProtection="1">
      <alignment horizontal="center"/>
      <protection locked="0"/>
    </xf>
    <xf numFmtId="2" fontId="0" fillId="11" borderId="26" xfId="0" quotePrefix="1" applyNumberFormat="1" applyFill="1" applyBorder="1" applyAlignment="1">
      <alignment horizontal="center"/>
    </xf>
    <xf numFmtId="2" fontId="0" fillId="11" borderId="6" xfId="0" applyNumberFormat="1" applyFill="1" applyBorder="1" applyAlignment="1">
      <alignment horizontal="right"/>
    </xf>
    <xf numFmtId="2" fontId="0" fillId="11" borderId="7" xfId="0" applyNumberFormat="1" applyFill="1" applyBorder="1" applyAlignment="1">
      <alignment horizontal="right"/>
    </xf>
    <xf numFmtId="2" fontId="0" fillId="11" borderId="7" xfId="0" quotePrefix="1" applyNumberFormat="1" applyFill="1" applyBorder="1" applyAlignment="1">
      <alignment horizontal="right"/>
    </xf>
    <xf numFmtId="2" fontId="0" fillId="11" borderId="18" xfId="0" quotePrefix="1" applyNumberFormat="1" applyFill="1" applyBorder="1" applyAlignment="1">
      <alignment horizontal="right"/>
    </xf>
    <xf numFmtId="2" fontId="0" fillId="11" borderId="26" xfId="0" applyNumberFormat="1" applyFill="1" applyBorder="1" applyAlignment="1">
      <alignment horizontal="right"/>
    </xf>
    <xf numFmtId="2" fontId="0" fillId="11" borderId="8" xfId="0" quotePrefix="1" applyNumberFormat="1" applyFill="1" applyBorder="1" applyAlignment="1">
      <alignment horizontal="right"/>
    </xf>
    <xf numFmtId="0" fontId="0" fillId="11" borderId="20" xfId="0" applyFill="1" applyBorder="1" applyAlignment="1" applyProtection="1">
      <alignment horizontal="center"/>
      <protection locked="0"/>
    </xf>
    <xf numFmtId="0" fontId="0" fillId="11" borderId="10" xfId="0" applyFill="1" applyBorder="1" applyAlignment="1" applyProtection="1">
      <alignment horizontal="center"/>
      <protection locked="0"/>
    </xf>
    <xf numFmtId="0" fontId="2" fillId="11" borderId="1" xfId="0" applyFont="1" applyFill="1" applyBorder="1" applyAlignment="1" applyProtection="1">
      <alignment horizontal="center"/>
      <protection locked="0"/>
    </xf>
    <xf numFmtId="0" fontId="2" fillId="11" borderId="20" xfId="0" applyFont="1" applyFill="1" applyBorder="1" applyAlignment="1" applyProtection="1">
      <alignment horizontal="center"/>
      <protection locked="0"/>
    </xf>
    <xf numFmtId="0" fontId="2" fillId="11" borderId="10" xfId="0" applyFont="1" applyFill="1" applyBorder="1" applyAlignment="1" applyProtection="1">
      <alignment horizontal="center"/>
      <protection locked="0"/>
    </xf>
    <xf numFmtId="2" fontId="0" fillId="11" borderId="29" xfId="0" applyNumberFormat="1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2" fontId="0" fillId="11" borderId="9" xfId="0" applyNumberFormat="1" applyFill="1" applyBorder="1" applyAlignment="1">
      <alignment horizontal="right"/>
    </xf>
    <xf numFmtId="2" fontId="0" fillId="11" borderId="1" xfId="0" applyNumberFormat="1" applyFill="1" applyBorder="1" applyAlignment="1">
      <alignment horizontal="right"/>
    </xf>
    <xf numFmtId="2" fontId="0" fillId="11" borderId="1" xfId="0" quotePrefix="1" applyNumberFormat="1" applyFill="1" applyBorder="1" applyAlignment="1">
      <alignment horizontal="right"/>
    </xf>
    <xf numFmtId="2" fontId="0" fillId="11" borderId="20" xfId="0" quotePrefix="1" applyNumberFormat="1" applyFill="1" applyBorder="1" applyAlignment="1">
      <alignment horizontal="right"/>
    </xf>
    <xf numFmtId="2" fontId="0" fillId="11" borderId="29" xfId="0" applyNumberFormat="1" applyFill="1" applyBorder="1" applyAlignment="1">
      <alignment horizontal="right"/>
    </xf>
    <xf numFmtId="2" fontId="0" fillId="11" borderId="10" xfId="0" quotePrefix="1" applyNumberFormat="1" applyFill="1" applyBorder="1" applyAlignment="1">
      <alignment horizontal="right"/>
    </xf>
    <xf numFmtId="0" fontId="0" fillId="12" borderId="18" xfId="0" applyFill="1" applyBorder="1" applyAlignment="1" applyProtection="1">
      <alignment horizontal="center"/>
      <protection locked="0"/>
    </xf>
    <xf numFmtId="0" fontId="0" fillId="12" borderId="8" xfId="0" applyFill="1" applyBorder="1" applyAlignment="1" applyProtection="1">
      <alignment horizontal="center"/>
      <protection locked="0"/>
    </xf>
    <xf numFmtId="0" fontId="2" fillId="12" borderId="7" xfId="0" applyFont="1" applyFill="1" applyBorder="1" applyAlignment="1" applyProtection="1">
      <alignment horizontal="center"/>
      <protection locked="0"/>
    </xf>
    <xf numFmtId="0" fontId="2" fillId="12" borderId="7" xfId="0" quotePrefix="1" applyFont="1" applyFill="1" applyBorder="1" applyAlignment="1" applyProtection="1">
      <alignment horizontal="center"/>
      <protection locked="0"/>
    </xf>
    <xf numFmtId="0" fontId="2" fillId="12" borderId="18" xfId="0" applyFont="1" applyFill="1" applyBorder="1" applyAlignment="1" applyProtection="1">
      <alignment horizontal="center"/>
      <protection locked="0"/>
    </xf>
    <xf numFmtId="0" fontId="2" fillId="12" borderId="8" xfId="0" applyFont="1" applyFill="1" applyBorder="1" applyAlignment="1" applyProtection="1">
      <alignment horizontal="center"/>
      <protection locked="0"/>
    </xf>
    <xf numFmtId="2" fontId="0" fillId="12" borderId="26" xfId="0" quotePrefix="1" applyNumberFormat="1" applyFill="1" applyBorder="1" applyAlignment="1">
      <alignment horizontal="center"/>
    </xf>
    <xf numFmtId="2" fontId="0" fillId="12" borderId="6" xfId="0" applyNumberFormat="1" applyFill="1" applyBorder="1" applyAlignment="1">
      <alignment horizontal="right"/>
    </xf>
    <xf numFmtId="2" fontId="0" fillId="12" borderId="7" xfId="0" applyNumberFormat="1" applyFill="1" applyBorder="1" applyAlignment="1">
      <alignment horizontal="right"/>
    </xf>
    <xf numFmtId="2" fontId="0" fillId="12" borderId="7" xfId="0" quotePrefix="1" applyNumberFormat="1" applyFill="1" applyBorder="1" applyAlignment="1">
      <alignment horizontal="right"/>
    </xf>
    <xf numFmtId="2" fontId="0" fillId="12" borderId="18" xfId="0" quotePrefix="1" applyNumberFormat="1" applyFill="1" applyBorder="1" applyAlignment="1">
      <alignment horizontal="right"/>
    </xf>
    <xf numFmtId="2" fontId="0" fillId="12" borderId="26" xfId="0" applyNumberFormat="1" applyFill="1" applyBorder="1" applyAlignment="1">
      <alignment horizontal="right"/>
    </xf>
    <xf numFmtId="2" fontId="0" fillId="12" borderId="8" xfId="0" quotePrefix="1" applyNumberFormat="1" applyFill="1" applyBorder="1" applyAlignment="1">
      <alignment horizontal="right"/>
    </xf>
    <xf numFmtId="0" fontId="0" fillId="12" borderId="20" xfId="0" applyFill="1" applyBorder="1" applyAlignment="1" applyProtection="1">
      <alignment horizontal="center"/>
      <protection locked="0"/>
    </xf>
    <xf numFmtId="0" fontId="0" fillId="12" borderId="10" xfId="0" applyFill="1" applyBorder="1" applyAlignment="1" applyProtection="1">
      <alignment horizontal="center"/>
      <protection locked="0"/>
    </xf>
    <xf numFmtId="0" fontId="2" fillId="12" borderId="1" xfId="0" applyFont="1" applyFill="1" applyBorder="1" applyAlignment="1" applyProtection="1">
      <alignment horizontal="center"/>
      <protection locked="0"/>
    </xf>
    <xf numFmtId="0" fontId="2" fillId="12" borderId="20" xfId="0" applyFont="1" applyFill="1" applyBorder="1" applyAlignment="1" applyProtection="1">
      <alignment horizontal="center"/>
      <protection locked="0"/>
    </xf>
    <xf numFmtId="0" fontId="2" fillId="12" borderId="10" xfId="0" applyFont="1" applyFill="1" applyBorder="1" applyAlignment="1" applyProtection="1">
      <alignment horizontal="center"/>
      <protection locked="0"/>
    </xf>
    <xf numFmtId="2" fontId="0" fillId="12" borderId="29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2" fontId="0" fillId="12" borderId="9" xfId="0" applyNumberFormat="1" applyFill="1" applyBorder="1" applyAlignment="1">
      <alignment horizontal="right"/>
    </xf>
    <xf numFmtId="2" fontId="0" fillId="12" borderId="1" xfId="0" applyNumberFormat="1" applyFill="1" applyBorder="1" applyAlignment="1">
      <alignment horizontal="right"/>
    </xf>
    <xf numFmtId="2" fontId="0" fillId="12" borderId="1" xfId="0" quotePrefix="1" applyNumberFormat="1" applyFill="1" applyBorder="1" applyAlignment="1">
      <alignment horizontal="right"/>
    </xf>
    <xf numFmtId="2" fontId="0" fillId="12" borderId="20" xfId="0" quotePrefix="1" applyNumberFormat="1" applyFill="1" applyBorder="1" applyAlignment="1">
      <alignment horizontal="right"/>
    </xf>
    <xf numFmtId="2" fontId="0" fillId="12" borderId="29" xfId="0" applyNumberFormat="1" applyFill="1" applyBorder="1" applyAlignment="1">
      <alignment horizontal="right"/>
    </xf>
    <xf numFmtId="2" fontId="0" fillId="12" borderId="10" xfId="0" quotePrefix="1" applyNumberFormat="1" applyFill="1" applyBorder="1" applyAlignment="1">
      <alignment horizontal="right"/>
    </xf>
    <xf numFmtId="2" fontId="2" fillId="11" borderId="26" xfId="0" applyNumberFormat="1" applyFont="1" applyFill="1" applyBorder="1" applyAlignment="1" applyProtection="1">
      <alignment horizontal="center"/>
      <protection locked="0"/>
    </xf>
    <xf numFmtId="2" fontId="2" fillId="11" borderId="29" xfId="0" applyNumberFormat="1" applyFont="1" applyFill="1" applyBorder="1" applyAlignment="1" applyProtection="1">
      <alignment horizontal="center"/>
      <protection locked="0"/>
    </xf>
    <xf numFmtId="2" fontId="2" fillId="12" borderId="26" xfId="0" applyNumberFormat="1" applyFont="1" applyFill="1" applyBorder="1" applyAlignment="1" applyProtection="1">
      <alignment horizontal="center"/>
      <protection locked="0"/>
    </xf>
    <xf numFmtId="2" fontId="2" fillId="12" borderId="29" xfId="0" applyNumberFormat="1" applyFont="1" applyFill="1" applyBorder="1" applyAlignment="1" applyProtection="1">
      <alignment horizontal="center"/>
      <protection locked="0"/>
    </xf>
    <xf numFmtId="0" fontId="2" fillId="13" borderId="18" xfId="0" applyFont="1" applyFill="1" applyBorder="1" applyAlignment="1" applyProtection="1">
      <alignment horizontal="center"/>
      <protection locked="0"/>
    </xf>
    <xf numFmtId="0" fontId="2" fillId="13" borderId="8" xfId="0" applyFont="1" applyFill="1" applyBorder="1" applyAlignment="1" applyProtection="1">
      <alignment horizontal="center"/>
      <protection locked="0"/>
    </xf>
    <xf numFmtId="0" fontId="2" fillId="13" borderId="26" xfId="0" applyFont="1" applyFill="1" applyBorder="1" applyAlignment="1" applyProtection="1">
      <alignment horizontal="center"/>
      <protection locked="0"/>
    </xf>
    <xf numFmtId="0" fontId="2" fillId="13" borderId="7" xfId="0" applyFont="1" applyFill="1" applyBorder="1" applyAlignment="1" applyProtection="1">
      <alignment horizontal="center"/>
      <protection locked="0"/>
    </xf>
    <xf numFmtId="2" fontId="2" fillId="13" borderId="26" xfId="0" applyNumberFormat="1" applyFont="1" applyFill="1" applyBorder="1" applyAlignment="1">
      <alignment horizontal="center"/>
    </xf>
    <xf numFmtId="2" fontId="2" fillId="13" borderId="7" xfId="0" applyNumberFormat="1" applyFont="1" applyFill="1" applyBorder="1" applyAlignment="1">
      <alignment horizontal="center"/>
    </xf>
    <xf numFmtId="2" fontId="2" fillId="13" borderId="6" xfId="0" applyNumberFormat="1" applyFont="1" applyFill="1" applyBorder="1" applyAlignment="1">
      <alignment horizontal="right"/>
    </xf>
    <xf numFmtId="2" fontId="2" fillId="13" borderId="7" xfId="0" applyNumberFormat="1" applyFont="1" applyFill="1" applyBorder="1" applyAlignment="1">
      <alignment horizontal="right"/>
    </xf>
    <xf numFmtId="2" fontId="2" fillId="13" borderId="7" xfId="0" quotePrefix="1" applyNumberFormat="1" applyFont="1" applyFill="1" applyBorder="1" applyAlignment="1">
      <alignment horizontal="right"/>
    </xf>
    <xf numFmtId="2" fontId="2" fillId="13" borderId="18" xfId="0" quotePrefix="1" applyNumberFormat="1" applyFont="1" applyFill="1" applyBorder="1" applyAlignment="1">
      <alignment horizontal="right"/>
    </xf>
    <xf numFmtId="2" fontId="2" fillId="13" borderId="26" xfId="0" applyNumberFormat="1" applyFont="1" applyFill="1" applyBorder="1" applyAlignment="1">
      <alignment horizontal="right"/>
    </xf>
    <xf numFmtId="2" fontId="2" fillId="13" borderId="8" xfId="0" quotePrefix="1" applyNumberFormat="1" applyFont="1" applyFill="1" applyBorder="1" applyAlignment="1">
      <alignment horizontal="right"/>
    </xf>
    <xf numFmtId="0" fontId="2" fillId="13" borderId="20" xfId="0" applyFont="1" applyFill="1" applyBorder="1" applyAlignment="1" applyProtection="1">
      <alignment horizontal="center"/>
      <protection locked="0"/>
    </xf>
    <xf numFmtId="0" fontId="2" fillId="13" borderId="10" xfId="0" applyFont="1" applyFill="1" applyBorder="1" applyAlignment="1" applyProtection="1">
      <alignment horizontal="center"/>
      <protection locked="0"/>
    </xf>
    <xf numFmtId="0" fontId="2" fillId="13" borderId="29" xfId="0" applyFont="1" applyFill="1" applyBorder="1" applyAlignment="1" applyProtection="1">
      <alignment horizontal="center"/>
      <protection locked="0"/>
    </xf>
    <xf numFmtId="0" fontId="2" fillId="13" borderId="1" xfId="0" applyFont="1" applyFill="1" applyBorder="1" applyAlignment="1" applyProtection="1">
      <alignment horizontal="center"/>
      <protection locked="0"/>
    </xf>
    <xf numFmtId="2" fontId="2" fillId="13" borderId="29" xfId="0" applyNumberFormat="1" applyFont="1" applyFill="1" applyBorder="1" applyAlignment="1">
      <alignment horizontal="center"/>
    </xf>
    <xf numFmtId="2" fontId="2" fillId="13" borderId="1" xfId="0" applyNumberFormat="1" applyFont="1" applyFill="1" applyBorder="1" applyAlignment="1">
      <alignment horizontal="center"/>
    </xf>
    <xf numFmtId="2" fontId="2" fillId="13" borderId="9" xfId="0" applyNumberFormat="1" applyFont="1" applyFill="1" applyBorder="1" applyAlignment="1">
      <alignment horizontal="right"/>
    </xf>
    <xf numFmtId="2" fontId="2" fillId="13" borderId="1" xfId="0" applyNumberFormat="1" applyFont="1" applyFill="1" applyBorder="1" applyAlignment="1">
      <alignment horizontal="right"/>
    </xf>
    <xf numFmtId="2" fontId="2" fillId="13" borderId="25" xfId="0" quotePrefix="1" applyNumberFormat="1" applyFont="1" applyFill="1" applyBorder="1" applyAlignment="1">
      <alignment horizontal="right"/>
    </xf>
    <xf numFmtId="2" fontId="2" fillId="13" borderId="1" xfId="0" quotePrefix="1" applyNumberFormat="1" applyFont="1" applyFill="1" applyBorder="1" applyAlignment="1">
      <alignment horizontal="right"/>
    </xf>
    <xf numFmtId="2" fontId="2" fillId="13" borderId="20" xfId="0" quotePrefix="1" applyNumberFormat="1" applyFont="1" applyFill="1" applyBorder="1" applyAlignment="1">
      <alignment horizontal="right"/>
    </xf>
    <xf numFmtId="2" fontId="2" fillId="13" borderId="29" xfId="0" applyNumberFormat="1" applyFont="1" applyFill="1" applyBorder="1" applyAlignment="1">
      <alignment horizontal="right"/>
    </xf>
    <xf numFmtId="2" fontId="2" fillId="13" borderId="10" xfId="0" quotePrefix="1" applyNumberFormat="1" applyFont="1" applyFill="1" applyBorder="1" applyAlignment="1">
      <alignment horizontal="right"/>
    </xf>
    <xf numFmtId="0" fontId="2" fillId="13" borderId="21" xfId="0" applyFont="1" applyFill="1" applyBorder="1" applyAlignment="1" applyProtection="1">
      <alignment horizontal="center"/>
      <protection locked="0"/>
    </xf>
    <xf numFmtId="0" fontId="2" fillId="13" borderId="13" xfId="0" applyFont="1" applyFill="1" applyBorder="1" applyAlignment="1" applyProtection="1">
      <alignment horizontal="center"/>
      <protection locked="0"/>
    </xf>
    <xf numFmtId="0" fontId="2" fillId="13" borderId="30" xfId="0" applyFont="1" applyFill="1" applyBorder="1" applyAlignment="1" applyProtection="1">
      <alignment horizontal="center"/>
      <protection locked="0"/>
    </xf>
    <xf numFmtId="0" fontId="2" fillId="13" borderId="12" xfId="0" applyFont="1" applyFill="1" applyBorder="1" applyAlignment="1" applyProtection="1">
      <alignment horizontal="center"/>
      <protection locked="0"/>
    </xf>
    <xf numFmtId="2" fontId="2" fillId="13" borderId="30" xfId="0" applyNumberFormat="1" applyFont="1" applyFill="1" applyBorder="1" applyAlignment="1">
      <alignment horizontal="center"/>
    </xf>
    <xf numFmtId="2" fontId="2" fillId="13" borderId="12" xfId="0" applyNumberFormat="1" applyFont="1" applyFill="1" applyBorder="1" applyAlignment="1">
      <alignment horizontal="center"/>
    </xf>
    <xf numFmtId="2" fontId="2" fillId="13" borderId="11" xfId="0" applyNumberFormat="1" applyFont="1" applyFill="1" applyBorder="1" applyAlignment="1">
      <alignment horizontal="right"/>
    </xf>
    <xf numFmtId="2" fontId="2" fillId="13" borderId="12" xfId="0" applyNumberFormat="1" applyFont="1" applyFill="1" applyBorder="1" applyAlignment="1">
      <alignment horizontal="right"/>
    </xf>
    <xf numFmtId="2" fontId="2" fillId="13" borderId="12" xfId="0" quotePrefix="1" applyNumberFormat="1" applyFont="1" applyFill="1" applyBorder="1" applyAlignment="1">
      <alignment horizontal="right"/>
    </xf>
    <xf numFmtId="2" fontId="2" fillId="13" borderId="21" xfId="0" quotePrefix="1" applyNumberFormat="1" applyFont="1" applyFill="1" applyBorder="1" applyAlignment="1">
      <alignment horizontal="right"/>
    </xf>
    <xf numFmtId="2" fontId="2" fillId="13" borderId="30" xfId="0" applyNumberFormat="1" applyFont="1" applyFill="1" applyBorder="1" applyAlignment="1">
      <alignment horizontal="right"/>
    </xf>
    <xf numFmtId="2" fontId="2" fillId="13" borderId="13" xfId="0" quotePrefix="1" applyNumberFormat="1" applyFont="1" applyFill="1" applyBorder="1" applyAlignment="1">
      <alignment horizontal="right"/>
    </xf>
    <xf numFmtId="2" fontId="2" fillId="13" borderId="21" xfId="0" applyNumberFormat="1" applyFont="1" applyFill="1" applyBorder="1" applyAlignment="1">
      <alignment horizontal="right"/>
    </xf>
    <xf numFmtId="0" fontId="2" fillId="13" borderId="47" xfId="0" applyFont="1" applyFill="1" applyBorder="1" applyAlignment="1" applyProtection="1">
      <alignment horizontal="center"/>
      <protection locked="0"/>
    </xf>
    <xf numFmtId="0" fontId="2" fillId="13" borderId="14" xfId="0" applyFont="1" applyFill="1" applyBorder="1" applyAlignment="1" applyProtection="1">
      <alignment horizontal="center"/>
      <protection locked="0"/>
    </xf>
    <xf numFmtId="0" fontId="2" fillId="13" borderId="22" xfId="0" applyFont="1" applyFill="1" applyBorder="1" applyAlignment="1" applyProtection="1">
      <alignment horizontal="center"/>
      <protection locked="0"/>
    </xf>
    <xf numFmtId="2" fontId="2" fillId="13" borderId="46" xfId="0" applyNumberFormat="1" applyFont="1" applyFill="1" applyBorder="1" applyAlignment="1">
      <alignment horizontal="center"/>
    </xf>
    <xf numFmtId="2" fontId="2" fillId="13" borderId="22" xfId="0" applyNumberFormat="1" applyFont="1" applyFill="1" applyBorder="1" applyAlignment="1">
      <alignment horizontal="center"/>
    </xf>
    <xf numFmtId="2" fontId="2" fillId="13" borderId="34" xfId="0" applyNumberFormat="1" applyFont="1" applyFill="1" applyBorder="1" applyAlignment="1">
      <alignment horizontal="right"/>
    </xf>
    <xf numFmtId="2" fontId="2" fillId="13" borderId="22" xfId="0" applyNumberFormat="1" applyFont="1" applyFill="1" applyBorder="1" applyAlignment="1">
      <alignment horizontal="right"/>
    </xf>
    <xf numFmtId="2" fontId="2" fillId="13" borderId="22" xfId="0" quotePrefix="1" applyNumberFormat="1" applyFont="1" applyFill="1" applyBorder="1" applyAlignment="1">
      <alignment horizontal="right"/>
    </xf>
    <xf numFmtId="2" fontId="2" fillId="13" borderId="47" xfId="0" quotePrefix="1" applyNumberFormat="1" applyFont="1" applyFill="1" applyBorder="1" applyAlignment="1">
      <alignment horizontal="right"/>
    </xf>
    <xf numFmtId="2" fontId="2" fillId="13" borderId="46" xfId="0" applyNumberFormat="1" applyFont="1" applyFill="1" applyBorder="1" applyAlignment="1">
      <alignment horizontal="right"/>
    </xf>
    <xf numFmtId="2" fontId="2" fillId="13" borderId="14" xfId="0" quotePrefix="1" applyNumberFormat="1" applyFont="1" applyFill="1" applyBorder="1" applyAlignment="1">
      <alignment horizontal="right"/>
    </xf>
    <xf numFmtId="2" fontId="2" fillId="13" borderId="20" xfId="0" applyNumberFormat="1" applyFont="1" applyFill="1" applyBorder="1" applyAlignment="1">
      <alignment horizontal="right"/>
    </xf>
    <xf numFmtId="2" fontId="2" fillId="13" borderId="13" xfId="0" applyNumberFormat="1" applyFont="1" applyFill="1" applyBorder="1" applyAlignment="1">
      <alignment horizontal="right"/>
    </xf>
    <xf numFmtId="0" fontId="2" fillId="13" borderId="37" xfId="0" applyFont="1" applyFill="1" applyBorder="1" applyAlignment="1" applyProtection="1">
      <alignment horizontal="center"/>
      <protection locked="0"/>
    </xf>
    <xf numFmtId="0" fontId="2" fillId="13" borderId="39" xfId="0" applyFont="1" applyFill="1" applyBorder="1" applyAlignment="1" applyProtection="1">
      <alignment horizontal="center"/>
      <protection locked="0"/>
    </xf>
    <xf numFmtId="0" fontId="2" fillId="13" borderId="36" xfId="0" applyFont="1" applyFill="1" applyBorder="1" applyAlignment="1" applyProtection="1">
      <alignment horizontal="center"/>
      <protection locked="0"/>
    </xf>
    <xf numFmtId="0" fontId="2" fillId="13" borderId="25" xfId="0" applyFont="1" applyFill="1" applyBorder="1" applyAlignment="1" applyProtection="1">
      <alignment horizontal="center"/>
      <protection locked="0"/>
    </xf>
    <xf numFmtId="2" fontId="2" fillId="13" borderId="36" xfId="0" applyNumberFormat="1" applyFont="1" applyFill="1" applyBorder="1" applyAlignment="1">
      <alignment horizontal="center"/>
    </xf>
    <xf numFmtId="2" fontId="2" fillId="13" borderId="25" xfId="0" applyNumberFormat="1" applyFont="1" applyFill="1" applyBorder="1" applyAlignment="1">
      <alignment horizontal="center"/>
    </xf>
    <xf numFmtId="2" fontId="2" fillId="13" borderId="38" xfId="0" applyNumberFormat="1" applyFont="1" applyFill="1" applyBorder="1" applyAlignment="1">
      <alignment horizontal="right"/>
    </xf>
    <xf numFmtId="2" fontId="2" fillId="13" borderId="25" xfId="0" applyNumberFormat="1" applyFont="1" applyFill="1" applyBorder="1" applyAlignment="1">
      <alignment horizontal="right"/>
    </xf>
    <xf numFmtId="2" fontId="2" fillId="13" borderId="37" xfId="0" quotePrefix="1" applyNumberFormat="1" applyFont="1" applyFill="1" applyBorder="1" applyAlignment="1">
      <alignment horizontal="right"/>
    </xf>
    <xf numFmtId="2" fontId="2" fillId="13" borderId="36" xfId="0" applyNumberFormat="1" applyFont="1" applyFill="1" applyBorder="1" applyAlignment="1">
      <alignment horizontal="right"/>
    </xf>
    <xf numFmtId="2" fontId="2" fillId="13" borderId="39" xfId="0" quotePrefix="1" applyNumberFormat="1" applyFont="1" applyFill="1" applyBorder="1" applyAlignment="1">
      <alignment horizontal="right"/>
    </xf>
    <xf numFmtId="0" fontId="2" fillId="13" borderId="49" xfId="0" applyFont="1" applyFill="1" applyBorder="1" applyAlignment="1" applyProtection="1">
      <alignment horizontal="center"/>
      <protection locked="0"/>
    </xf>
    <xf numFmtId="0" fontId="2" fillId="13" borderId="16" xfId="0" applyFont="1" applyFill="1" applyBorder="1" applyAlignment="1" applyProtection="1">
      <alignment horizontal="center"/>
      <protection locked="0"/>
    </xf>
    <xf numFmtId="0" fontId="2" fillId="13" borderId="44" xfId="0" applyFont="1" applyFill="1" applyBorder="1" applyAlignment="1" applyProtection="1">
      <alignment horizontal="center"/>
      <protection locked="0"/>
    </xf>
    <xf numFmtId="0" fontId="2" fillId="13" borderId="45" xfId="0" applyFont="1" applyFill="1" applyBorder="1" applyAlignment="1" applyProtection="1">
      <alignment horizontal="center"/>
      <protection locked="0"/>
    </xf>
    <xf numFmtId="2" fontId="2" fillId="13" borderId="44" xfId="0" applyNumberFormat="1" applyFont="1" applyFill="1" applyBorder="1" applyAlignment="1">
      <alignment horizontal="center"/>
    </xf>
    <xf numFmtId="2" fontId="2" fillId="13" borderId="45" xfId="0" applyNumberFormat="1" applyFont="1" applyFill="1" applyBorder="1" applyAlignment="1">
      <alignment horizontal="center"/>
    </xf>
    <xf numFmtId="2" fontId="2" fillId="13" borderId="35" xfId="0" applyNumberFormat="1" applyFont="1" applyFill="1" applyBorder="1" applyAlignment="1">
      <alignment horizontal="right"/>
    </xf>
    <xf numFmtId="2" fontId="2" fillId="13" borderId="45" xfId="0" applyNumberFormat="1" applyFont="1" applyFill="1" applyBorder="1" applyAlignment="1">
      <alignment horizontal="right"/>
    </xf>
    <xf numFmtId="2" fontId="2" fillId="13" borderId="45" xfId="0" quotePrefix="1" applyNumberFormat="1" applyFont="1" applyFill="1" applyBorder="1" applyAlignment="1">
      <alignment horizontal="right"/>
    </xf>
    <xf numFmtId="2" fontId="2" fillId="13" borderId="49" xfId="0" quotePrefix="1" applyNumberFormat="1" applyFont="1" applyFill="1" applyBorder="1" applyAlignment="1">
      <alignment horizontal="right"/>
    </xf>
    <xf numFmtId="2" fontId="2" fillId="13" borderId="44" xfId="0" applyNumberFormat="1" applyFont="1" applyFill="1" applyBorder="1" applyAlignment="1">
      <alignment horizontal="right"/>
    </xf>
    <xf numFmtId="2" fontId="2" fillId="13" borderId="16" xfId="0" quotePrefix="1" applyNumberFormat="1" applyFont="1" applyFill="1" applyBorder="1" applyAlignment="1">
      <alignment horizontal="right"/>
    </xf>
    <xf numFmtId="0" fontId="2" fillId="13" borderId="3" xfId="0" applyFont="1" applyFill="1" applyBorder="1" applyAlignment="1">
      <alignment horizontal="center" vertical="center"/>
    </xf>
    <xf numFmtId="0" fontId="0" fillId="14" borderId="18" xfId="0" quotePrefix="1" applyFill="1" applyBorder="1" applyAlignment="1" applyProtection="1">
      <alignment horizontal="center"/>
      <protection locked="0"/>
    </xf>
    <xf numFmtId="0" fontId="0" fillId="14" borderId="8" xfId="0" applyFill="1" applyBorder="1" applyAlignment="1" applyProtection="1">
      <alignment horizontal="center"/>
      <protection locked="0"/>
    </xf>
    <xf numFmtId="0" fontId="0" fillId="14" borderId="26" xfId="0" applyFill="1" applyBorder="1" applyAlignment="1" applyProtection="1">
      <alignment horizontal="center"/>
      <protection locked="0"/>
    </xf>
    <xf numFmtId="0" fontId="0" fillId="14" borderId="7" xfId="0" applyFill="1" applyBorder="1" applyAlignment="1" applyProtection="1">
      <alignment horizontal="center"/>
      <protection locked="0"/>
    </xf>
    <xf numFmtId="0" fontId="0" fillId="14" borderId="18" xfId="0" applyFill="1" applyBorder="1" applyAlignment="1" applyProtection="1">
      <alignment horizontal="center"/>
      <protection locked="0"/>
    </xf>
    <xf numFmtId="164" fontId="0" fillId="14" borderId="26" xfId="0" applyNumberFormat="1" applyFill="1" applyBorder="1" applyAlignment="1">
      <alignment horizontal="center"/>
    </xf>
    <xf numFmtId="164" fontId="0" fillId="14" borderId="7" xfId="0" applyNumberFormat="1" applyFill="1" applyBorder="1" applyAlignment="1">
      <alignment horizontal="center"/>
    </xf>
    <xf numFmtId="2" fontId="0" fillId="14" borderId="6" xfId="0" applyNumberFormat="1" applyFill="1" applyBorder="1" applyAlignment="1">
      <alignment horizontal="right"/>
    </xf>
    <xf numFmtId="2" fontId="0" fillId="14" borderId="7" xfId="0" applyNumberFormat="1" applyFill="1" applyBorder="1" applyAlignment="1">
      <alignment horizontal="right"/>
    </xf>
    <xf numFmtId="2" fontId="0" fillId="14" borderId="18" xfId="0" applyNumberFormat="1" applyFill="1" applyBorder="1" applyAlignment="1">
      <alignment horizontal="right"/>
    </xf>
    <xf numFmtId="2" fontId="0" fillId="14" borderId="26" xfId="0" applyNumberFormat="1" applyFill="1" applyBorder="1" applyAlignment="1">
      <alignment horizontal="right"/>
    </xf>
    <xf numFmtId="2" fontId="0" fillId="14" borderId="7" xfId="0" quotePrefix="1" applyNumberFormat="1" applyFill="1" applyBorder="1" applyAlignment="1">
      <alignment horizontal="right"/>
    </xf>
    <xf numFmtId="2" fontId="0" fillId="14" borderId="8" xfId="0" quotePrefix="1" applyNumberFormat="1" applyFill="1" applyBorder="1" applyAlignment="1">
      <alignment horizontal="right"/>
    </xf>
    <xf numFmtId="0" fontId="0" fillId="14" borderId="49" xfId="0" quotePrefix="1" applyFill="1" applyBorder="1" applyAlignment="1" applyProtection="1">
      <alignment horizontal="center"/>
      <protection locked="0"/>
    </xf>
    <xf numFmtId="0" fontId="0" fillId="14" borderId="16" xfId="0" applyFill="1" applyBorder="1" applyAlignment="1" applyProtection="1">
      <alignment horizontal="center"/>
      <protection locked="0"/>
    </xf>
    <xf numFmtId="0" fontId="0" fillId="14" borderId="44" xfId="0" applyFill="1" applyBorder="1" applyAlignment="1" applyProtection="1">
      <alignment horizontal="center"/>
      <protection locked="0"/>
    </xf>
    <xf numFmtId="0" fontId="0" fillId="14" borderId="45" xfId="0" applyFill="1" applyBorder="1" applyAlignment="1" applyProtection="1">
      <alignment horizontal="center"/>
      <protection locked="0"/>
    </xf>
    <xf numFmtId="0" fontId="0" fillId="14" borderId="49" xfId="0" applyFill="1" applyBorder="1" applyAlignment="1" applyProtection="1">
      <alignment horizontal="center"/>
      <protection locked="0"/>
    </xf>
    <xf numFmtId="164" fontId="0" fillId="14" borderId="44" xfId="0" applyNumberFormat="1" applyFill="1" applyBorder="1" applyAlignment="1">
      <alignment horizontal="center"/>
    </xf>
    <xf numFmtId="164" fontId="0" fillId="14" borderId="45" xfId="0" applyNumberFormat="1" applyFill="1" applyBorder="1" applyAlignment="1">
      <alignment horizontal="center"/>
    </xf>
    <xf numFmtId="2" fontId="0" fillId="14" borderId="35" xfId="0" applyNumberFormat="1" applyFill="1" applyBorder="1" applyAlignment="1">
      <alignment horizontal="right"/>
    </xf>
    <xf numFmtId="2" fontId="0" fillId="14" borderId="45" xfId="0" applyNumberFormat="1" applyFill="1" applyBorder="1" applyAlignment="1">
      <alignment horizontal="right"/>
    </xf>
    <xf numFmtId="2" fontId="0" fillId="14" borderId="49" xfId="0" applyNumberFormat="1" applyFill="1" applyBorder="1" applyAlignment="1">
      <alignment horizontal="right"/>
    </xf>
    <xf numFmtId="2" fontId="0" fillId="14" borderId="44" xfId="0" applyNumberFormat="1" applyFill="1" applyBorder="1" applyAlignment="1">
      <alignment horizontal="right"/>
    </xf>
    <xf numFmtId="2" fontId="0" fillId="14" borderId="45" xfId="0" quotePrefix="1" applyNumberFormat="1" applyFill="1" applyBorder="1" applyAlignment="1">
      <alignment horizontal="right"/>
    </xf>
    <xf numFmtId="2" fontId="0" fillId="14" borderId="16" xfId="0" quotePrefix="1" applyNumberFormat="1" applyFill="1" applyBorder="1" applyAlignment="1">
      <alignment horizontal="right"/>
    </xf>
    <xf numFmtId="2" fontId="0" fillId="14" borderId="18" xfId="0" quotePrefix="1" applyNumberFormat="1" applyFill="1" applyBorder="1" applyAlignment="1">
      <alignment horizontal="right"/>
    </xf>
    <xf numFmtId="0" fontId="0" fillId="14" borderId="20" xfId="0" applyFill="1" applyBorder="1" applyAlignment="1" applyProtection="1">
      <alignment horizontal="center"/>
      <protection locked="0"/>
    </xf>
    <xf numFmtId="0" fontId="0" fillId="14" borderId="10" xfId="0" applyFill="1" applyBorder="1" applyAlignment="1" applyProtection="1">
      <alignment horizontal="center"/>
      <protection locked="0"/>
    </xf>
    <xf numFmtId="0" fontId="0" fillId="14" borderId="29" xfId="0" applyFill="1" applyBorder="1" applyAlignment="1" applyProtection="1">
      <alignment horizontal="center"/>
      <protection locked="0"/>
    </xf>
    <xf numFmtId="0" fontId="0" fillId="14" borderId="1" xfId="0" applyFill="1" applyBorder="1" applyAlignment="1" applyProtection="1">
      <alignment horizontal="center"/>
      <protection locked="0"/>
    </xf>
    <xf numFmtId="164" fontId="0" fillId="14" borderId="29" xfId="0" applyNumberForma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0" fillId="14" borderId="9" xfId="0" applyNumberFormat="1" applyFill="1" applyBorder="1" applyAlignment="1">
      <alignment horizontal="right"/>
    </xf>
    <xf numFmtId="2" fontId="0" fillId="14" borderId="1" xfId="0" applyNumberFormat="1" applyFill="1" applyBorder="1" applyAlignment="1">
      <alignment horizontal="right"/>
    </xf>
    <xf numFmtId="2" fontId="0" fillId="14" borderId="1" xfId="0" quotePrefix="1" applyNumberFormat="1" applyFill="1" applyBorder="1" applyAlignment="1">
      <alignment horizontal="right"/>
    </xf>
    <xf numFmtId="2" fontId="0" fillId="14" borderId="20" xfId="0" quotePrefix="1" applyNumberFormat="1" applyFill="1" applyBorder="1" applyAlignment="1">
      <alignment horizontal="right"/>
    </xf>
    <xf numFmtId="2" fontId="0" fillId="14" borderId="10" xfId="0" quotePrefix="1" applyNumberFormat="1" applyFill="1" applyBorder="1" applyAlignment="1">
      <alignment horizontal="right"/>
    </xf>
    <xf numFmtId="0" fontId="0" fillId="14" borderId="21" xfId="0" applyFill="1" applyBorder="1" applyAlignment="1" applyProtection="1">
      <alignment horizontal="center"/>
      <protection locked="0"/>
    </xf>
    <xf numFmtId="0" fontId="0" fillId="14" borderId="13" xfId="0" applyFill="1" applyBorder="1" applyAlignment="1" applyProtection="1">
      <alignment horizontal="center"/>
      <protection locked="0"/>
    </xf>
    <xf numFmtId="0" fontId="0" fillId="14" borderId="30" xfId="0" applyFill="1" applyBorder="1" applyAlignment="1" applyProtection="1">
      <alignment horizontal="center"/>
      <protection locked="0"/>
    </xf>
    <xf numFmtId="0" fontId="0" fillId="14" borderId="12" xfId="0" applyFill="1" applyBorder="1" applyAlignment="1" applyProtection="1">
      <alignment horizontal="center"/>
      <protection locked="0"/>
    </xf>
    <xf numFmtId="164" fontId="0" fillId="14" borderId="30" xfId="0" applyNumberFormat="1" applyFill="1" applyBorder="1" applyAlignment="1">
      <alignment horizontal="center"/>
    </xf>
    <xf numFmtId="164" fontId="0" fillId="14" borderId="12" xfId="0" applyNumberFormat="1" applyFill="1" applyBorder="1" applyAlignment="1">
      <alignment horizontal="center"/>
    </xf>
    <xf numFmtId="2" fontId="0" fillId="14" borderId="11" xfId="0" applyNumberFormat="1" applyFill="1" applyBorder="1" applyAlignment="1">
      <alignment horizontal="right"/>
    </xf>
    <xf numFmtId="2" fontId="0" fillId="14" borderId="12" xfId="0" applyNumberFormat="1" applyFill="1" applyBorder="1" applyAlignment="1">
      <alignment horizontal="right"/>
    </xf>
    <xf numFmtId="2" fontId="0" fillId="14" borderId="12" xfId="0" quotePrefix="1" applyNumberFormat="1" applyFill="1" applyBorder="1" applyAlignment="1">
      <alignment horizontal="right"/>
    </xf>
    <xf numFmtId="2" fontId="0" fillId="14" borderId="21" xfId="0" quotePrefix="1" applyNumberFormat="1" applyFill="1" applyBorder="1" applyAlignment="1">
      <alignment horizontal="right"/>
    </xf>
    <xf numFmtId="2" fontId="0" fillId="14" borderId="13" xfId="0" quotePrefix="1" applyNumberFormat="1" applyFill="1" applyBorder="1" applyAlignment="1">
      <alignment horizontal="right"/>
    </xf>
    <xf numFmtId="2" fontId="0" fillId="14" borderId="20" xfId="0" applyNumberFormat="1" applyFill="1" applyBorder="1" applyAlignment="1">
      <alignment horizontal="right"/>
    </xf>
    <xf numFmtId="0" fontId="2" fillId="14" borderId="16" xfId="0" applyFont="1" applyFill="1" applyBorder="1" applyAlignment="1" applyProtection="1">
      <alignment horizontal="center"/>
      <protection locked="0"/>
    </xf>
    <xf numFmtId="0" fontId="2" fillId="14" borderId="44" xfId="0" applyFont="1" applyFill="1" applyBorder="1" applyAlignment="1" applyProtection="1">
      <alignment horizontal="center"/>
      <protection locked="0"/>
    </xf>
    <xf numFmtId="0" fontId="2" fillId="14" borderId="45" xfId="0" applyFont="1" applyFill="1" applyBorder="1" applyAlignment="1" applyProtection="1">
      <alignment horizontal="center"/>
      <protection locked="0"/>
    </xf>
    <xf numFmtId="0" fontId="2" fillId="14" borderId="49" xfId="0" applyFont="1" applyFill="1" applyBorder="1" applyAlignment="1" applyProtection="1">
      <alignment horizontal="center"/>
      <protection locked="0"/>
    </xf>
    <xf numFmtId="0" fontId="3" fillId="14" borderId="16" xfId="0" applyFont="1" applyFill="1" applyBorder="1" applyAlignment="1" applyProtection="1">
      <alignment horizontal="center"/>
      <protection locked="0"/>
    </xf>
    <xf numFmtId="2" fontId="0" fillId="14" borderId="49" xfId="0" quotePrefix="1" applyNumberFormat="1" applyFill="1" applyBorder="1" applyAlignment="1">
      <alignment horizontal="right"/>
    </xf>
    <xf numFmtId="0" fontId="2" fillId="14" borderId="26" xfId="0" applyFont="1" applyFill="1" applyBorder="1" applyAlignment="1" applyProtection="1">
      <alignment horizontal="center"/>
      <protection locked="0"/>
    </xf>
    <xf numFmtId="0" fontId="2" fillId="14" borderId="29" xfId="0" applyFont="1" applyFill="1" applyBorder="1" applyAlignment="1" applyProtection="1">
      <alignment horizontal="center"/>
      <protection locked="0"/>
    </xf>
    <xf numFmtId="2" fontId="0" fillId="14" borderId="21" xfId="0" applyNumberFormat="1" applyFill="1" applyBorder="1" applyAlignment="1">
      <alignment horizontal="right"/>
    </xf>
    <xf numFmtId="2" fontId="0" fillId="14" borderId="15" xfId="0" applyNumberFormat="1" applyFill="1" applyBorder="1" applyAlignment="1">
      <alignment horizontal="right"/>
    </xf>
    <xf numFmtId="2" fontId="0" fillId="14" borderId="2" xfId="0" applyNumberFormat="1" applyFill="1" applyBorder="1" applyAlignment="1">
      <alignment horizontal="right"/>
    </xf>
    <xf numFmtId="2" fontId="0" fillId="14" borderId="31" xfId="0" applyNumberFormat="1" applyFill="1" applyBorder="1" applyAlignment="1">
      <alignment horizontal="right"/>
    </xf>
    <xf numFmtId="2" fontId="0" fillId="14" borderId="17" xfId="0" applyNumberFormat="1" applyFill="1" applyBorder="1" applyAlignment="1">
      <alignment horizontal="right"/>
    </xf>
    <xf numFmtId="0" fontId="0" fillId="14" borderId="31" xfId="0" applyFill="1" applyBorder="1" applyAlignment="1" applyProtection="1">
      <alignment horizontal="center"/>
      <protection locked="0"/>
    </xf>
    <xf numFmtId="0" fontId="0" fillId="14" borderId="17" xfId="0" applyFill="1" applyBorder="1" applyAlignment="1" applyProtection="1">
      <alignment horizontal="center"/>
      <protection locked="0"/>
    </xf>
    <xf numFmtId="0" fontId="2" fillId="14" borderId="27" xfId="0" applyFont="1" applyFill="1" applyBorder="1" applyAlignment="1" applyProtection="1">
      <alignment horizontal="center"/>
      <protection locked="0"/>
    </xf>
    <xf numFmtId="0" fontId="0" fillId="14" borderId="2" xfId="0" applyFill="1" applyBorder="1" applyAlignment="1" applyProtection="1">
      <alignment horizontal="center"/>
      <protection locked="0"/>
    </xf>
    <xf numFmtId="164" fontId="0" fillId="14" borderId="27" xfId="0" applyNumberFormat="1" applyFill="1" applyBorder="1" applyAlignment="1">
      <alignment horizontal="center"/>
    </xf>
    <xf numFmtId="164" fontId="0" fillId="14" borderId="2" xfId="0" applyNumberFormat="1" applyFill="1" applyBorder="1" applyAlignment="1">
      <alignment horizontal="center"/>
    </xf>
    <xf numFmtId="2" fontId="0" fillId="14" borderId="31" xfId="0" quotePrefix="1" applyNumberFormat="1" applyFill="1" applyBorder="1" applyAlignment="1">
      <alignment horizontal="right"/>
    </xf>
    <xf numFmtId="2" fontId="0" fillId="14" borderId="17" xfId="0" quotePrefix="1" applyNumberFormat="1" applyFill="1" applyBorder="1" applyAlignment="1">
      <alignment horizontal="right"/>
    </xf>
    <xf numFmtId="0" fontId="2" fillId="14" borderId="7" xfId="0" applyFont="1" applyFill="1" applyBorder="1" applyAlignment="1" applyProtection="1">
      <alignment horizontal="center"/>
      <protection locked="0"/>
    </xf>
    <xf numFmtId="0" fontId="2" fillId="14" borderId="18" xfId="0" applyFont="1" applyFill="1" applyBorder="1" applyAlignment="1" applyProtection="1">
      <alignment horizontal="center"/>
      <protection locked="0"/>
    </xf>
    <xf numFmtId="0" fontId="2" fillId="14" borderId="8" xfId="0" applyFont="1" applyFill="1" applyBorder="1" applyAlignment="1" applyProtection="1">
      <alignment horizontal="center"/>
      <protection locked="0"/>
    </xf>
    <xf numFmtId="2" fontId="0" fillId="14" borderId="26" xfId="0" applyNumberFormat="1" applyFill="1" applyBorder="1" applyAlignment="1">
      <alignment horizontal="center"/>
    </xf>
    <xf numFmtId="0" fontId="2" fillId="14" borderId="1" xfId="0" applyFont="1" applyFill="1" applyBorder="1" applyAlignment="1" applyProtection="1">
      <alignment horizontal="center"/>
      <protection locked="0"/>
    </xf>
    <xf numFmtId="0" fontId="2" fillId="14" borderId="20" xfId="0" applyFont="1" applyFill="1" applyBorder="1" applyAlignment="1" applyProtection="1">
      <alignment horizontal="center"/>
      <protection locked="0"/>
    </xf>
    <xf numFmtId="0" fontId="2" fillId="14" borderId="10" xfId="0" applyFont="1" applyFill="1" applyBorder="1" applyAlignment="1" applyProtection="1">
      <alignment horizontal="center"/>
      <protection locked="0"/>
    </xf>
    <xf numFmtId="2" fontId="0" fillId="14" borderId="29" xfId="0" applyNumberFormat="1" applyFill="1" applyBorder="1" applyAlignment="1">
      <alignment horizontal="center"/>
    </xf>
    <xf numFmtId="0" fontId="2" fillId="14" borderId="12" xfId="0" applyFont="1" applyFill="1" applyBorder="1" applyAlignment="1" applyProtection="1">
      <alignment horizontal="center"/>
      <protection locked="0"/>
    </xf>
    <xf numFmtId="0" fontId="2" fillId="14" borderId="21" xfId="0" applyFont="1" applyFill="1" applyBorder="1" applyAlignment="1" applyProtection="1">
      <alignment horizontal="center"/>
      <protection locked="0"/>
    </xf>
    <xf numFmtId="0" fontId="2" fillId="14" borderId="13" xfId="0" applyFont="1" applyFill="1" applyBorder="1" applyAlignment="1" applyProtection="1">
      <alignment horizontal="center"/>
      <protection locked="0"/>
    </xf>
    <xf numFmtId="2" fontId="0" fillId="14" borderId="30" xfId="0" applyNumberFormat="1" applyFill="1" applyBorder="1" applyAlignment="1">
      <alignment horizontal="center"/>
    </xf>
    <xf numFmtId="0" fontId="0" fillId="14" borderId="55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/>
    </xf>
    <xf numFmtId="0" fontId="0" fillId="14" borderId="19" xfId="0" quotePrefix="1" applyFill="1" applyBorder="1" applyAlignment="1" applyProtection="1">
      <alignment horizontal="center"/>
      <protection locked="0"/>
    </xf>
    <xf numFmtId="0" fontId="0" fillId="14" borderId="5" xfId="0" applyFill="1" applyBorder="1" applyAlignment="1" applyProtection="1">
      <alignment horizontal="center"/>
      <protection locked="0"/>
    </xf>
    <xf numFmtId="0" fontId="0" fillId="14" borderId="28" xfId="0" applyFill="1" applyBorder="1" applyAlignment="1" applyProtection="1">
      <alignment horizontal="center"/>
      <protection locked="0"/>
    </xf>
    <xf numFmtId="0" fontId="0" fillId="14" borderId="4" xfId="0" applyFill="1" applyBorder="1" applyAlignment="1" applyProtection="1">
      <alignment horizontal="center"/>
      <protection locked="0"/>
    </xf>
    <xf numFmtId="0" fontId="0" fillId="14" borderId="19" xfId="0" applyFill="1" applyBorder="1" applyAlignment="1" applyProtection="1">
      <alignment horizontal="center"/>
      <protection locked="0"/>
    </xf>
    <xf numFmtId="164" fontId="0" fillId="14" borderId="28" xfId="0" applyNumberFormat="1" applyFill="1" applyBorder="1" applyAlignment="1">
      <alignment horizontal="center"/>
    </xf>
    <xf numFmtId="164" fontId="0" fillId="14" borderId="4" xfId="0" applyNumberFormat="1" applyFill="1" applyBorder="1" applyAlignment="1">
      <alignment horizontal="center"/>
    </xf>
    <xf numFmtId="2" fontId="0" fillId="14" borderId="3" xfId="0" applyNumberFormat="1" applyFill="1" applyBorder="1" applyAlignment="1">
      <alignment horizontal="right"/>
    </xf>
    <xf numFmtId="2" fontId="0" fillId="14" borderId="4" xfId="0" applyNumberFormat="1" applyFill="1" applyBorder="1" applyAlignment="1">
      <alignment horizontal="right"/>
    </xf>
    <xf numFmtId="2" fontId="0" fillId="14" borderId="4" xfId="0" quotePrefix="1" applyNumberFormat="1" applyFill="1" applyBorder="1" applyAlignment="1">
      <alignment horizontal="right"/>
    </xf>
    <xf numFmtId="2" fontId="0" fillId="14" borderId="19" xfId="0" quotePrefix="1" applyNumberFormat="1" applyFill="1" applyBorder="1" applyAlignment="1">
      <alignment horizontal="right"/>
    </xf>
    <xf numFmtId="2" fontId="0" fillId="14" borderId="19" xfId="0" applyNumberFormat="1" applyFill="1" applyBorder="1" applyAlignment="1">
      <alignment horizontal="right"/>
    </xf>
    <xf numFmtId="2" fontId="0" fillId="14" borderId="5" xfId="0" quotePrefix="1" applyNumberFormat="1" applyFill="1" applyBorder="1" applyAlignment="1">
      <alignment horizontal="right"/>
    </xf>
    <xf numFmtId="0" fontId="2" fillId="14" borderId="4" xfId="0" applyFont="1" applyFill="1" applyBorder="1" applyAlignment="1" applyProtection="1">
      <alignment horizontal="center"/>
      <protection locked="0"/>
    </xf>
    <xf numFmtId="0" fontId="2" fillId="14" borderId="19" xfId="0" applyFont="1" applyFill="1" applyBorder="1" applyAlignment="1" applyProtection="1">
      <alignment horizontal="center"/>
      <protection locked="0"/>
    </xf>
    <xf numFmtId="0" fontId="0" fillId="21" borderId="0" xfId="0" applyFill="1"/>
    <xf numFmtId="0" fontId="0" fillId="14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4" fillId="24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11" xfId="0" applyFill="1" applyBorder="1" applyAlignment="1" applyProtection="1">
      <alignment horizontal="center"/>
      <protection locked="0"/>
    </xf>
    <xf numFmtId="0" fontId="2" fillId="3" borderId="18" xfId="0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37" xfId="0" applyFont="1" applyFill="1" applyBorder="1" applyAlignment="1" applyProtection="1">
      <alignment horizontal="center"/>
      <protection locked="0"/>
    </xf>
    <xf numFmtId="0" fontId="2" fillId="3" borderId="20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12" xfId="0" applyFont="1" applyFill="1" applyBorder="1" applyAlignment="1" applyProtection="1">
      <alignment horizontal="center"/>
    </xf>
    <xf numFmtId="0" fontId="2" fillId="3" borderId="12" xfId="0" applyFont="1" applyFill="1" applyBorder="1" applyAlignment="1" applyProtection="1">
      <alignment horizontal="center"/>
      <protection locked="0"/>
    </xf>
    <xf numFmtId="0" fontId="2" fillId="3" borderId="25" xfId="0" applyFont="1" applyFill="1" applyBorder="1" applyAlignment="1" applyProtection="1">
      <alignment horizontal="center"/>
    </xf>
    <xf numFmtId="0" fontId="2" fillId="3" borderId="25" xfId="0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2" fillId="13" borderId="46" xfId="0" applyFont="1" applyFill="1" applyBorder="1" applyAlignment="1" applyProtection="1">
      <alignment horizontal="center"/>
      <protection locked="0"/>
    </xf>
    <xf numFmtId="0" fontId="2" fillId="14" borderId="31" xfId="0" applyFont="1" applyFill="1" applyBorder="1" applyAlignment="1" applyProtection="1">
      <alignment horizontal="center"/>
      <protection locked="0"/>
    </xf>
    <xf numFmtId="0" fontId="0" fillId="8" borderId="46" xfId="0" applyFill="1" applyBorder="1" applyAlignment="1">
      <alignment horizontal="center" vertical="center"/>
    </xf>
    <xf numFmtId="0" fontId="0" fillId="8" borderId="43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9" borderId="43" xfId="0" applyFill="1" applyBorder="1" applyAlignment="1">
      <alignment horizontal="center" vertical="center"/>
    </xf>
    <xf numFmtId="0" fontId="0" fillId="10" borderId="46" xfId="0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0" fillId="11" borderId="46" xfId="0" applyFill="1" applyBorder="1" applyAlignment="1">
      <alignment horizontal="center" vertical="center"/>
    </xf>
    <xf numFmtId="0" fontId="0" fillId="11" borderId="43" xfId="0" applyFill="1" applyBorder="1" applyAlignment="1">
      <alignment horizontal="center" vertical="center"/>
    </xf>
    <xf numFmtId="0" fontId="0" fillId="11" borderId="44" xfId="0" applyFill="1" applyBorder="1" applyAlignment="1">
      <alignment horizontal="center" vertical="center"/>
    </xf>
    <xf numFmtId="0" fontId="0" fillId="12" borderId="46" xfId="0" applyFill="1" applyBorder="1" applyAlignment="1">
      <alignment horizontal="center" vertical="center"/>
    </xf>
    <xf numFmtId="0" fontId="0" fillId="12" borderId="43" xfId="0" applyFill="1" applyBorder="1" applyAlignment="1">
      <alignment horizontal="center" vertical="center"/>
    </xf>
    <xf numFmtId="0" fontId="0" fillId="12" borderId="44" xfId="0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52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14" borderId="6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14" borderId="34" xfId="0" applyFill="1" applyBorder="1" applyAlignment="1">
      <alignment horizontal="center" vertical="center"/>
    </xf>
    <xf numFmtId="0" fontId="0" fillId="14" borderId="35" xfId="0" applyFill="1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14" borderId="15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2" fillId="13" borderId="34" xfId="0" applyFont="1" applyFill="1" applyBorder="1" applyAlignment="1">
      <alignment horizontal="center" vertical="center"/>
    </xf>
    <xf numFmtId="0" fontId="2" fillId="13" borderId="32" xfId="0" applyFont="1" applyFill="1" applyBorder="1" applyAlignment="1">
      <alignment horizontal="center" vertical="center"/>
    </xf>
    <xf numFmtId="0" fontId="2" fillId="13" borderId="35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6" borderId="34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3" borderId="11" xfId="0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0" borderId="45" xfId="0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16" borderId="0" xfId="0" applyNumberFormat="1" applyFill="1" applyAlignment="1">
      <alignment horizontal="center"/>
    </xf>
    <xf numFmtId="0" fontId="4" fillId="25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913954"/>
      <color rgb="FFD6005C"/>
      <color rgb="FFFE9898"/>
      <color rgb="FFFD63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'Research Costs'!$C$9</c:f>
              <c:strCache>
                <c:ptCount val="1"/>
                <c:pt idx="0">
                  <c:v>x^1.5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'Research Costs'!$A$10:$A$21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'Research Costs'!$C$10:$C$21</c:f>
              <c:numCache>
                <c:formatCode>General</c:formatCode>
                <c:ptCount val="12"/>
                <c:pt idx="0">
                  <c:v>60</c:v>
                </c:pt>
                <c:pt idx="1">
                  <c:v>120</c:v>
                </c:pt>
                <c:pt idx="2">
                  <c:v>336</c:v>
                </c:pt>
                <c:pt idx="3">
                  <c:v>624</c:v>
                </c:pt>
                <c:pt idx="4">
                  <c:v>960</c:v>
                </c:pt>
                <c:pt idx="5">
                  <c:v>1344</c:v>
                </c:pt>
                <c:pt idx="6">
                  <c:v>1764</c:v>
                </c:pt>
                <c:pt idx="7">
                  <c:v>2220</c:v>
                </c:pt>
                <c:pt idx="8">
                  <c:v>2712</c:v>
                </c:pt>
                <c:pt idx="9">
                  <c:v>3240</c:v>
                </c:pt>
                <c:pt idx="10">
                  <c:v>3792</c:v>
                </c:pt>
                <c:pt idx="11">
                  <c:v>4380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'Research Costs'!$D$9</c:f>
              <c:strCache>
                <c:ptCount val="1"/>
                <c:pt idx="0">
                  <c:v>x^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'Research Costs'!$A$10:$A$21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'Research Costs'!$D$10:$D$21</c:f>
              <c:numCache>
                <c:formatCode>General</c:formatCode>
                <c:ptCount val="12"/>
                <c:pt idx="0">
                  <c:v>60</c:v>
                </c:pt>
                <c:pt idx="1">
                  <c:v>120</c:v>
                </c:pt>
                <c:pt idx="2">
                  <c:v>384</c:v>
                </c:pt>
                <c:pt idx="3">
                  <c:v>744</c:v>
                </c:pt>
                <c:pt idx="4">
                  <c:v>1212</c:v>
                </c:pt>
                <c:pt idx="5">
                  <c:v>1752</c:v>
                </c:pt>
                <c:pt idx="6">
                  <c:v>2376</c:v>
                </c:pt>
                <c:pt idx="7">
                  <c:v>3072</c:v>
                </c:pt>
                <c:pt idx="8">
                  <c:v>3840</c:v>
                </c:pt>
                <c:pt idx="9">
                  <c:v>4668</c:v>
                </c:pt>
                <c:pt idx="10">
                  <c:v>5568</c:v>
                </c:pt>
                <c:pt idx="11">
                  <c:v>6528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'Research Costs'!$E$9</c:f>
              <c:strCache>
                <c:ptCount val="1"/>
                <c:pt idx="0">
                  <c:v>x*1.5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'Research Costs'!$A$10:$A$21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'Research Costs'!$E$10:$E$21</c:f>
              <c:numCache>
                <c:formatCode>General</c:formatCode>
                <c:ptCount val="12"/>
                <c:pt idx="0">
                  <c:v>60</c:v>
                </c:pt>
                <c:pt idx="1">
                  <c:v>180</c:v>
                </c:pt>
                <c:pt idx="2">
                  <c:v>360</c:v>
                </c:pt>
                <c:pt idx="3">
                  <c:v>540</c:v>
                </c:pt>
                <c:pt idx="4">
                  <c:v>720</c:v>
                </c:pt>
                <c:pt idx="5">
                  <c:v>900</c:v>
                </c:pt>
                <c:pt idx="6">
                  <c:v>1080</c:v>
                </c:pt>
                <c:pt idx="7">
                  <c:v>1260</c:v>
                </c:pt>
                <c:pt idx="8">
                  <c:v>1440</c:v>
                </c:pt>
                <c:pt idx="9">
                  <c:v>1620</c:v>
                </c:pt>
                <c:pt idx="10">
                  <c:v>1800</c:v>
                </c:pt>
                <c:pt idx="11">
                  <c:v>1980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'Research Costs'!$F$9</c:f>
              <c:strCache>
                <c:ptCount val="1"/>
                <c:pt idx="0">
                  <c:v>x+1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'Research Costs'!$A$10:$A$21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'Research Costs'!$F$10:$F$21</c:f>
              <c:numCache>
                <c:formatCode>General</c:formatCode>
                <c:ptCount val="12"/>
                <c:pt idx="0">
                  <c:v>120</c:v>
                </c:pt>
                <c:pt idx="1">
                  <c:v>240</c:v>
                </c:pt>
                <c:pt idx="2">
                  <c:v>360</c:v>
                </c:pt>
                <c:pt idx="3">
                  <c:v>480</c:v>
                </c:pt>
                <c:pt idx="4">
                  <c:v>600</c:v>
                </c:pt>
                <c:pt idx="5">
                  <c:v>720</c:v>
                </c:pt>
                <c:pt idx="6">
                  <c:v>840</c:v>
                </c:pt>
                <c:pt idx="7">
                  <c:v>960</c:v>
                </c:pt>
                <c:pt idx="8">
                  <c:v>1080</c:v>
                </c:pt>
                <c:pt idx="9">
                  <c:v>1200</c:v>
                </c:pt>
                <c:pt idx="10">
                  <c:v>1320</c:v>
                </c:pt>
                <c:pt idx="11">
                  <c:v>1440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'Research Costs'!$G$9</c:f>
              <c:strCache>
                <c:ptCount val="1"/>
                <c:pt idx="0">
                  <c:v>2*(x-1) for x &gt; 1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'Research Costs'!$A$10:$A$21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'Research Costs'!$G$10:$G$21</c:f>
              <c:numCache>
                <c:formatCode>General</c:formatCode>
                <c:ptCount val="12"/>
                <c:pt idx="0">
                  <c:v>60</c:v>
                </c:pt>
                <c:pt idx="1">
                  <c:v>120</c:v>
                </c:pt>
                <c:pt idx="2">
                  <c:v>240</c:v>
                </c:pt>
                <c:pt idx="3">
                  <c:v>480</c:v>
                </c:pt>
                <c:pt idx="4">
                  <c:v>720</c:v>
                </c:pt>
                <c:pt idx="5">
                  <c:v>960</c:v>
                </c:pt>
                <c:pt idx="6">
                  <c:v>1200</c:v>
                </c:pt>
                <c:pt idx="7">
                  <c:v>1440</c:v>
                </c:pt>
                <c:pt idx="8">
                  <c:v>1680</c:v>
                </c:pt>
                <c:pt idx="9">
                  <c:v>1920</c:v>
                </c:pt>
                <c:pt idx="10">
                  <c:v>2160</c:v>
                </c:pt>
                <c:pt idx="11">
                  <c:v>2400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'Research Costs'!$H$9</c:f>
              <c:strCache>
                <c:ptCount val="1"/>
                <c:pt idx="0">
                  <c:v>3*(x-2) for x &gt; 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'Research Costs'!$A$10:$A$21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'Research Costs'!$H$10:$H$21</c:f>
              <c:numCache>
                <c:formatCode>General</c:formatCode>
                <c:ptCount val="12"/>
                <c:pt idx="0">
                  <c:v>60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720</c:v>
                </c:pt>
                <c:pt idx="5">
                  <c:v>1080</c:v>
                </c:pt>
                <c:pt idx="6">
                  <c:v>1440</c:v>
                </c:pt>
                <c:pt idx="7">
                  <c:v>1800</c:v>
                </c:pt>
                <c:pt idx="8">
                  <c:v>2160</c:v>
                </c:pt>
                <c:pt idx="9">
                  <c:v>2520</c:v>
                </c:pt>
                <c:pt idx="10">
                  <c:v>2880</c:v>
                </c:pt>
                <c:pt idx="11">
                  <c:v>3240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'Research Costs'!$I$9</c:f>
              <c:strCache>
                <c:ptCount val="1"/>
                <c:pt idx="0">
                  <c:v>linear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'Research Costs'!$A$10:$A$21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'Research Costs'!$I$10:$I$21</c:f>
              <c:numCache>
                <c:formatCode>General</c:formatCode>
                <c:ptCount val="12"/>
                <c:pt idx="0">
                  <c:v>60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  <c:pt idx="11">
                  <c:v>1320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815488"/>
        <c:axId val="4148280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'Research Costs'!$B$9</c15:sqref>
                        </c15:formulaRef>
                      </c:ext>
                    </c:extLst>
                    <c:strCache>
                      <c:ptCount val="1"/>
                      <c:pt idx="0">
                        <c:v>2^(x-1)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'Research Costs'!$A$10:$A$21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'Research Costs'!$B$10:$B$21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60</c:v>
                      </c:pt>
                      <c:pt idx="1">
                        <c:v>120</c:v>
                      </c:pt>
                      <c:pt idx="2">
                        <c:v>240</c:v>
                      </c:pt>
                      <c:pt idx="3">
                        <c:v>480</c:v>
                      </c:pt>
                      <c:pt idx="4">
                        <c:v>960</c:v>
                      </c:pt>
                      <c:pt idx="5">
                        <c:v>1920</c:v>
                      </c:pt>
                      <c:pt idx="6">
                        <c:v>3840</c:v>
                      </c:pt>
                      <c:pt idx="7">
                        <c:v>7680</c:v>
                      </c:pt>
                      <c:pt idx="8">
                        <c:v>15360</c:v>
                      </c:pt>
                      <c:pt idx="9">
                        <c:v>30720</c:v>
                      </c:pt>
                      <c:pt idx="10">
                        <c:v>61440</c:v>
                      </c:pt>
                      <c:pt idx="11">
                        <c:v>122880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41481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28000"/>
        <c:crosses val="autoZero"/>
        <c:auto val="1"/>
        <c:lblAlgn val="ctr"/>
        <c:lblOffset val="100"/>
        <c:noMultiLvlLbl val="0"/>
      </c:catAx>
      <c:valAx>
        <c:axId val="41482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1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7</xdr:row>
      <xdr:rowOff>142874</xdr:rowOff>
    </xdr:from>
    <xdr:to>
      <xdr:col>21</xdr:col>
      <xdr:colOff>85725</xdr:colOff>
      <xdr:row>35</xdr:row>
      <xdr:rowOff>171449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2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35" sqref="G35"/>
    </sheetView>
  </sheetViews>
  <sheetFormatPr defaultRowHeight="15" x14ac:dyDescent="0.25"/>
  <cols>
    <col min="1" max="1" width="23.140625" style="1" bestFit="1" customWidth="1"/>
    <col min="2" max="2" width="9.140625" style="1"/>
    <col min="3" max="3" width="6.85546875" customWidth="1"/>
    <col min="6" max="6" width="9.140625" customWidth="1"/>
    <col min="7" max="8" width="11.85546875" customWidth="1"/>
    <col min="9" max="9" width="13.7109375" customWidth="1"/>
    <col min="11" max="11" width="13.7109375" customWidth="1"/>
    <col min="12" max="12" width="10.5703125" customWidth="1"/>
    <col min="13" max="13" width="15.42578125" customWidth="1"/>
    <col min="14" max="28" width="7.5703125" customWidth="1"/>
    <col min="29" max="33" width="6.5703125" customWidth="1"/>
    <col min="34" max="34" width="5.5703125" customWidth="1"/>
    <col min="35" max="55" width="5.7109375" customWidth="1"/>
    <col min="56" max="79" width="9.140625" hidden="1" customWidth="1"/>
  </cols>
  <sheetData>
    <row r="1" spans="1:79" ht="15.75" customHeight="1" x14ac:dyDescent="0.25">
      <c r="A1" s="826" t="s">
        <v>29</v>
      </c>
      <c r="B1" s="828" t="s">
        <v>30</v>
      </c>
      <c r="C1" s="832" t="s">
        <v>6</v>
      </c>
      <c r="D1" s="824" t="s">
        <v>0</v>
      </c>
      <c r="E1" s="807" t="s">
        <v>1</v>
      </c>
      <c r="F1" s="807" t="s">
        <v>2</v>
      </c>
      <c r="G1" s="809" t="s">
        <v>26</v>
      </c>
      <c r="H1" s="811" t="s">
        <v>194</v>
      </c>
      <c r="I1" s="805" t="s">
        <v>211</v>
      </c>
      <c r="J1" s="805" t="s">
        <v>25</v>
      </c>
      <c r="K1" s="845" t="s">
        <v>210</v>
      </c>
      <c r="L1" s="813" t="s">
        <v>31</v>
      </c>
      <c r="M1" s="811" t="s">
        <v>114</v>
      </c>
      <c r="N1" s="815" t="s">
        <v>27</v>
      </c>
      <c r="O1" s="816"/>
      <c r="P1" s="816"/>
      <c r="Q1" s="816"/>
      <c r="R1" s="816"/>
      <c r="S1" s="816"/>
      <c r="T1" s="816"/>
      <c r="U1" s="816"/>
      <c r="V1" s="816"/>
      <c r="W1" s="816"/>
      <c r="X1" s="816"/>
      <c r="Y1" s="816"/>
      <c r="Z1" s="816"/>
      <c r="AA1" s="816"/>
      <c r="AB1" s="816"/>
      <c r="AC1" s="816"/>
      <c r="AD1" s="816"/>
      <c r="AE1" s="816"/>
      <c r="AF1" s="816"/>
      <c r="AG1" s="816"/>
      <c r="AH1" s="816"/>
      <c r="AI1" s="804" t="s">
        <v>28</v>
      </c>
      <c r="AJ1" s="802"/>
      <c r="AK1" s="802"/>
      <c r="AL1" s="802"/>
      <c r="AM1" s="802"/>
      <c r="AN1" s="802"/>
      <c r="AO1" s="802"/>
      <c r="AP1" s="802"/>
      <c r="AQ1" s="802"/>
      <c r="AR1" s="802"/>
      <c r="AS1" s="802"/>
      <c r="AT1" s="802"/>
      <c r="AU1" s="802"/>
      <c r="AV1" s="802"/>
      <c r="AW1" s="802"/>
      <c r="AX1" s="802"/>
      <c r="AY1" s="802"/>
      <c r="AZ1" s="802"/>
      <c r="BA1" s="802"/>
      <c r="BB1" s="802"/>
      <c r="BC1" s="803"/>
      <c r="BD1" s="801" t="s">
        <v>41</v>
      </c>
      <c r="BE1" s="802"/>
      <c r="BF1" s="802"/>
      <c r="BG1" s="802"/>
      <c r="BH1" s="802"/>
      <c r="BI1" s="802"/>
      <c r="BJ1" s="802"/>
      <c r="BK1" s="802"/>
      <c r="BL1" s="802"/>
      <c r="BM1" s="802"/>
      <c r="BN1" s="802"/>
      <c r="BO1" s="803"/>
      <c r="BP1" s="804" t="s">
        <v>42</v>
      </c>
      <c r="BQ1" s="802"/>
      <c r="BR1" s="802"/>
      <c r="BS1" s="802"/>
      <c r="BT1" s="802"/>
      <c r="BU1" s="802"/>
      <c r="BV1" s="802"/>
      <c r="BW1" s="802"/>
      <c r="BX1" s="802"/>
      <c r="BY1" s="802"/>
      <c r="BZ1" s="802"/>
      <c r="CA1" s="803"/>
    </row>
    <row r="2" spans="1:79" ht="15.75" thickBot="1" x14ac:dyDescent="0.3">
      <c r="A2" s="827"/>
      <c r="B2" s="829"/>
      <c r="C2" s="833"/>
      <c r="D2" s="825"/>
      <c r="E2" s="808"/>
      <c r="F2" s="808"/>
      <c r="G2" s="810"/>
      <c r="H2" s="855"/>
      <c r="I2" s="806"/>
      <c r="J2" s="806"/>
      <c r="K2" s="846"/>
      <c r="L2" s="814"/>
      <c r="M2" s="812"/>
      <c r="N2" s="15">
        <v>0</v>
      </c>
      <c r="O2" s="8">
        <f t="shared" ref="O2:X2" si="0">N2+50</f>
        <v>50</v>
      </c>
      <c r="P2" s="8">
        <f t="shared" si="0"/>
        <v>100</v>
      </c>
      <c r="Q2" s="8">
        <f t="shared" si="0"/>
        <v>150</v>
      </c>
      <c r="R2" s="8">
        <f t="shared" si="0"/>
        <v>200</v>
      </c>
      <c r="S2" s="8">
        <f t="shared" si="0"/>
        <v>250</v>
      </c>
      <c r="T2" s="8">
        <f t="shared" si="0"/>
        <v>300</v>
      </c>
      <c r="U2" s="8">
        <f t="shared" si="0"/>
        <v>350</v>
      </c>
      <c r="V2" s="8">
        <f t="shared" si="0"/>
        <v>400</v>
      </c>
      <c r="W2" s="8">
        <f t="shared" si="0"/>
        <v>450</v>
      </c>
      <c r="X2" s="8">
        <f t="shared" si="0"/>
        <v>500</v>
      </c>
      <c r="Y2" s="8">
        <f>X2+50</f>
        <v>550</v>
      </c>
      <c r="Z2" s="8">
        <f t="shared" ref="Z2:AA2" si="1">Y2+50</f>
        <v>600</v>
      </c>
      <c r="AA2" s="8">
        <f t="shared" si="1"/>
        <v>650</v>
      </c>
      <c r="AB2" s="8">
        <f t="shared" ref="AB2:AC2" si="2">AA2+50</f>
        <v>700</v>
      </c>
      <c r="AC2" s="8">
        <f t="shared" si="2"/>
        <v>750</v>
      </c>
      <c r="AD2" s="8">
        <f t="shared" ref="AD2:AE2" si="3">AC2+50</f>
        <v>800</v>
      </c>
      <c r="AE2" s="8">
        <f t="shared" si="3"/>
        <v>850</v>
      </c>
      <c r="AF2" s="8">
        <f t="shared" ref="AF2:AG2" si="4">AE2+50</f>
        <v>900</v>
      </c>
      <c r="AG2" s="8">
        <f t="shared" si="4"/>
        <v>950</v>
      </c>
      <c r="AH2" s="202">
        <f t="shared" ref="AH2" si="5">AG2+50</f>
        <v>1000</v>
      </c>
      <c r="AI2" s="16">
        <v>0</v>
      </c>
      <c r="AJ2" s="4">
        <f t="shared" ref="AJ2:AR2" si="6">AI2+50</f>
        <v>50</v>
      </c>
      <c r="AK2" s="4">
        <f t="shared" si="6"/>
        <v>100</v>
      </c>
      <c r="AL2" s="4">
        <f t="shared" si="6"/>
        <v>150</v>
      </c>
      <c r="AM2" s="4">
        <f t="shared" si="6"/>
        <v>200</v>
      </c>
      <c r="AN2" s="4">
        <f t="shared" si="6"/>
        <v>250</v>
      </c>
      <c r="AO2" s="4">
        <f t="shared" si="6"/>
        <v>300</v>
      </c>
      <c r="AP2" s="4">
        <f t="shared" si="6"/>
        <v>350</v>
      </c>
      <c r="AQ2" s="4">
        <f t="shared" si="6"/>
        <v>400</v>
      </c>
      <c r="AR2" s="4">
        <f t="shared" si="6"/>
        <v>450</v>
      </c>
      <c r="AS2" s="4">
        <f t="shared" ref="AS2" si="7">AR2+50</f>
        <v>500</v>
      </c>
      <c r="AT2" s="4">
        <f t="shared" ref="AT2" si="8">AS2+50</f>
        <v>550</v>
      </c>
      <c r="AU2" s="4">
        <f t="shared" ref="AU2" si="9">AT2+50</f>
        <v>600</v>
      </c>
      <c r="AV2" s="4">
        <f t="shared" ref="AV2" si="10">AU2+50</f>
        <v>650</v>
      </c>
      <c r="AW2" s="4">
        <f t="shared" ref="AW2" si="11">AV2+50</f>
        <v>700</v>
      </c>
      <c r="AX2" s="4">
        <f t="shared" ref="AX2" si="12">AW2+50</f>
        <v>750</v>
      </c>
      <c r="AY2" s="4">
        <f t="shared" ref="AY2" si="13">AX2+50</f>
        <v>800</v>
      </c>
      <c r="AZ2" s="4">
        <f t="shared" ref="AZ2" si="14">AY2+50</f>
        <v>850</v>
      </c>
      <c r="BA2" s="4">
        <f t="shared" ref="BA2" si="15">AZ2+50</f>
        <v>900</v>
      </c>
      <c r="BB2" s="4">
        <f t="shared" ref="BB2" si="16">BA2+50</f>
        <v>950</v>
      </c>
      <c r="BC2" s="17">
        <f t="shared" ref="BC2" si="17">BB2+50</f>
        <v>1000</v>
      </c>
      <c r="BD2" s="27">
        <v>0</v>
      </c>
      <c r="BE2" s="4">
        <f t="shared" ref="BE2:BO2" si="18">BD2+50</f>
        <v>50</v>
      </c>
      <c r="BF2" s="4">
        <f t="shared" si="18"/>
        <v>100</v>
      </c>
      <c r="BG2" s="4">
        <f t="shared" si="18"/>
        <v>150</v>
      </c>
      <c r="BH2" s="4">
        <f t="shared" si="18"/>
        <v>200</v>
      </c>
      <c r="BI2" s="4">
        <f t="shared" si="18"/>
        <v>250</v>
      </c>
      <c r="BJ2" s="4">
        <f t="shared" si="18"/>
        <v>300</v>
      </c>
      <c r="BK2" s="4">
        <f t="shared" si="18"/>
        <v>350</v>
      </c>
      <c r="BL2" s="4">
        <f t="shared" si="18"/>
        <v>400</v>
      </c>
      <c r="BM2" s="4">
        <f t="shared" si="18"/>
        <v>450</v>
      </c>
      <c r="BN2" s="4">
        <f t="shared" si="18"/>
        <v>500</v>
      </c>
      <c r="BO2" s="17">
        <f t="shared" si="18"/>
        <v>550</v>
      </c>
      <c r="BP2" s="16">
        <v>0</v>
      </c>
      <c r="BQ2" s="4">
        <f t="shared" ref="BQ2:CA2" si="19">BP2+50</f>
        <v>50</v>
      </c>
      <c r="BR2" s="4">
        <f t="shared" si="19"/>
        <v>100</v>
      </c>
      <c r="BS2" s="4">
        <f t="shared" si="19"/>
        <v>150</v>
      </c>
      <c r="BT2" s="4">
        <f t="shared" si="19"/>
        <v>200</v>
      </c>
      <c r="BU2" s="4">
        <f t="shared" si="19"/>
        <v>250</v>
      </c>
      <c r="BV2" s="4">
        <f t="shared" si="19"/>
        <v>300</v>
      </c>
      <c r="BW2" s="4">
        <f t="shared" si="19"/>
        <v>350</v>
      </c>
      <c r="BX2" s="4">
        <f t="shared" si="19"/>
        <v>400</v>
      </c>
      <c r="BY2" s="4">
        <f t="shared" si="19"/>
        <v>450</v>
      </c>
      <c r="BZ2" s="4">
        <f t="shared" si="19"/>
        <v>500</v>
      </c>
      <c r="CA2" s="17">
        <f t="shared" si="19"/>
        <v>550</v>
      </c>
    </row>
    <row r="3" spans="1:79" x14ac:dyDescent="0.25">
      <c r="A3" s="830" t="s">
        <v>7</v>
      </c>
      <c r="B3" s="662" t="s">
        <v>9</v>
      </c>
      <c r="C3" s="663">
        <v>0</v>
      </c>
      <c r="D3" s="664">
        <v>4</v>
      </c>
      <c r="E3" s="665">
        <v>4</v>
      </c>
      <c r="F3" s="665">
        <v>150</v>
      </c>
      <c r="G3" s="665">
        <v>13</v>
      </c>
      <c r="H3" s="665">
        <v>1200</v>
      </c>
      <c r="I3" s="666">
        <v>1</v>
      </c>
      <c r="J3" s="666">
        <v>1.24</v>
      </c>
      <c r="K3" s="663"/>
      <c r="L3" s="667">
        <f t="shared" ref="L3:L34" si="20">G3/J3</f>
        <v>10.483870967741936</v>
      </c>
      <c r="M3" s="668">
        <f t="shared" ref="M3:M48" si="21">L3/D3</f>
        <v>2.620967741935484</v>
      </c>
      <c r="N3" s="669">
        <f t="shared" ref="N3:W11" si="22">IF(AND(N$2&lt;=$F3,($E3-$I3*N$2/100)/$J3&gt;0),($E3-$I3*N$2/100)/$J3,"-")</f>
        <v>3.2258064516129035</v>
      </c>
      <c r="O3" s="670">
        <f t="shared" si="22"/>
        <v>2.8225806451612905</v>
      </c>
      <c r="P3" s="670">
        <f t="shared" si="22"/>
        <v>2.4193548387096775</v>
      </c>
      <c r="Q3" s="670">
        <f t="shared" si="22"/>
        <v>2.0161290322580645</v>
      </c>
      <c r="R3" s="670" t="str">
        <f t="shared" si="22"/>
        <v>-</v>
      </c>
      <c r="S3" s="670" t="str">
        <f t="shared" si="22"/>
        <v>-</v>
      </c>
      <c r="T3" s="670" t="str">
        <f t="shared" si="22"/>
        <v>-</v>
      </c>
      <c r="U3" s="670" t="str">
        <f t="shared" si="22"/>
        <v>-</v>
      </c>
      <c r="V3" s="670" t="str">
        <f t="shared" si="22"/>
        <v>-</v>
      </c>
      <c r="W3" s="670" t="str">
        <f t="shared" si="22"/>
        <v>-</v>
      </c>
      <c r="X3" s="670" t="str">
        <f t="shared" ref="X3:AH11" si="23">IF(AND(X$2&lt;=$F3,($E3-$I3*X$2/100)/$J3&gt;0),($E3-$I3*X$2/100)/$J3,"-")</f>
        <v>-</v>
      </c>
      <c r="Y3" s="670" t="str">
        <f t="shared" si="23"/>
        <v>-</v>
      </c>
      <c r="Z3" s="670" t="str">
        <f t="shared" si="23"/>
        <v>-</v>
      </c>
      <c r="AA3" s="670" t="str">
        <f t="shared" si="23"/>
        <v>-</v>
      </c>
      <c r="AB3" s="670" t="str">
        <f t="shared" si="23"/>
        <v>-</v>
      </c>
      <c r="AC3" s="670" t="str">
        <f t="shared" si="23"/>
        <v>-</v>
      </c>
      <c r="AD3" s="670" t="str">
        <f t="shared" si="23"/>
        <v>-</v>
      </c>
      <c r="AE3" s="670" t="str">
        <f t="shared" si="23"/>
        <v>-</v>
      </c>
      <c r="AF3" s="670" t="str">
        <f t="shared" si="23"/>
        <v>-</v>
      </c>
      <c r="AG3" s="670" t="str">
        <f t="shared" si="23"/>
        <v>-</v>
      </c>
      <c r="AH3" s="671" t="str">
        <f t="shared" si="23"/>
        <v>-</v>
      </c>
      <c r="AI3" s="669">
        <f>IF(N$2&lt;=$F3,N3/$D3,"-")</f>
        <v>0.80645161290322587</v>
      </c>
      <c r="AJ3" s="672">
        <f t="shared" ref="AJ3:AM3" si="24">IF(O$2&lt;=$F3,O3/$D3,"-")</f>
        <v>0.70564516129032262</v>
      </c>
      <c r="AK3" s="670">
        <f t="shared" si="24"/>
        <v>0.60483870967741937</v>
      </c>
      <c r="AL3" s="670">
        <f t="shared" si="24"/>
        <v>0.50403225806451613</v>
      </c>
      <c r="AM3" s="673" t="str">
        <f t="shared" si="24"/>
        <v>-</v>
      </c>
      <c r="AN3" s="673" t="str">
        <f t="shared" ref="AN3" si="25">IF(S$2&lt;=$F3,S3/$D3,"-")</f>
        <v>-</v>
      </c>
      <c r="AO3" s="673" t="str">
        <f t="shared" ref="AO3" si="26">IF(T$2&lt;=$F3,T3/$D3,"-")</f>
        <v>-</v>
      </c>
      <c r="AP3" s="673" t="str">
        <f t="shared" ref="AP3" si="27">IF(U$2&lt;=$F3,U3/$D3,"-")</f>
        <v>-</v>
      </c>
      <c r="AQ3" s="673" t="str">
        <f t="shared" ref="AQ3" si="28">IF(V$2&lt;=$F3,V3/$D3,"-")</f>
        <v>-</v>
      </c>
      <c r="AR3" s="673" t="str">
        <f t="shared" ref="AR3" si="29">IF(W$2&lt;=$F3,W3/$D3,"-")</f>
        <v>-</v>
      </c>
      <c r="AS3" s="670" t="str">
        <f t="shared" ref="AS3" si="30">IF(X$2&lt;=$F3,X3/$D3,"-")</f>
        <v>-</v>
      </c>
      <c r="AT3" s="670" t="str">
        <f t="shared" ref="AT3" si="31">IF(Y$2&lt;=$F3,Y3/$D3,"-")</f>
        <v>-</v>
      </c>
      <c r="AU3" s="670" t="str">
        <f t="shared" ref="AU3" si="32">IF(Z$2&lt;=$F3,Z3/$D3,"-")</f>
        <v>-</v>
      </c>
      <c r="AV3" s="673" t="str">
        <f t="shared" ref="AV3" si="33">IF(AA$2&lt;=$F3,AA3/$D3,"-")</f>
        <v>-</v>
      </c>
      <c r="AW3" s="673" t="str">
        <f t="shared" ref="AW3" si="34">IF(AB$2&lt;=$F3,AB3/$D3,"-")</f>
        <v>-</v>
      </c>
      <c r="AX3" s="673" t="str">
        <f t="shared" ref="AX3" si="35">IF(AC$2&lt;=$F3,AC3/$D3,"-")</f>
        <v>-</v>
      </c>
      <c r="AY3" s="673" t="str">
        <f t="shared" ref="AY3" si="36">IF(AD$2&lt;=$F3,AD3/$D3,"-")</f>
        <v>-</v>
      </c>
      <c r="AZ3" s="673" t="str">
        <f t="shared" ref="AZ3" si="37">IF(AE$2&lt;=$F3,AE3/$D3,"-")</f>
        <v>-</v>
      </c>
      <c r="BA3" s="673" t="str">
        <f t="shared" ref="BA3" si="38">IF(AF$2&lt;=$F3,AF3/$D3,"-")</f>
        <v>-</v>
      </c>
      <c r="BB3" s="673" t="str">
        <f t="shared" ref="BB3" si="39">IF(AG$2&lt;=$F3,AG3/$D3,"-")</f>
        <v>-</v>
      </c>
      <c r="BC3" s="674" t="str">
        <f t="shared" ref="BC3" si="40">IF(AH$2&lt;=$F3,AH3/$D3,"-")</f>
        <v>-</v>
      </c>
      <c r="BD3">
        <f t="shared" ref="BD3:BO11" si="41">$E3-$I3*BD$2/100</f>
        <v>4</v>
      </c>
      <c r="BE3">
        <f t="shared" si="41"/>
        <v>3.5</v>
      </c>
      <c r="BF3">
        <f t="shared" si="41"/>
        <v>3</v>
      </c>
      <c r="BG3">
        <f t="shared" si="41"/>
        <v>2.5</v>
      </c>
      <c r="BH3">
        <f t="shared" si="41"/>
        <v>2</v>
      </c>
      <c r="BI3">
        <f t="shared" si="41"/>
        <v>1.5</v>
      </c>
      <c r="BJ3">
        <f t="shared" si="41"/>
        <v>1</v>
      </c>
      <c r="BK3">
        <f t="shared" si="41"/>
        <v>0.5</v>
      </c>
      <c r="BL3">
        <f t="shared" si="41"/>
        <v>0</v>
      </c>
      <c r="BM3">
        <f t="shared" si="41"/>
        <v>-0.5</v>
      </c>
      <c r="BN3">
        <f t="shared" si="41"/>
        <v>-1</v>
      </c>
      <c r="BO3">
        <f t="shared" si="41"/>
        <v>-1.5</v>
      </c>
      <c r="BP3">
        <f t="shared" ref="BP3:BP20" si="42">BD3/$D3</f>
        <v>1</v>
      </c>
      <c r="BQ3">
        <f t="shared" ref="BQ3:BQ20" si="43">BE3/$D3</f>
        <v>0.875</v>
      </c>
      <c r="BR3">
        <f t="shared" ref="BR3:BR20" si="44">BF3/$D3</f>
        <v>0.75</v>
      </c>
      <c r="BS3">
        <f t="shared" ref="BS3:BS20" si="45">BG3/$D3</f>
        <v>0.625</v>
      </c>
      <c r="BT3">
        <f t="shared" ref="BT3:BT20" si="46">BH3/$D3</f>
        <v>0.5</v>
      </c>
      <c r="BU3">
        <f t="shared" ref="BU3:BU20" si="47">BI3/$D3</f>
        <v>0.375</v>
      </c>
      <c r="BV3">
        <f t="shared" ref="BV3:BV20" si="48">BJ3/$D3</f>
        <v>0.25</v>
      </c>
      <c r="BW3">
        <f t="shared" ref="BW3:BW20" si="49">BK3/$D3</f>
        <v>0.125</v>
      </c>
      <c r="BX3">
        <f t="shared" ref="BX3:BX20" si="50">BL3/$D3</f>
        <v>0</v>
      </c>
      <c r="BY3">
        <f t="shared" ref="BY3:BY20" si="51">BM3/$D3</f>
        <v>-0.125</v>
      </c>
      <c r="BZ3">
        <f t="shared" ref="BZ3:BZ20" si="52">BN3/$D3</f>
        <v>-0.25</v>
      </c>
      <c r="CA3">
        <f t="shared" ref="CA3:CA20" si="53">BO3/$D3</f>
        <v>-0.375</v>
      </c>
    </row>
    <row r="4" spans="1:79" ht="15.75" thickBot="1" x14ac:dyDescent="0.3">
      <c r="A4" s="831"/>
      <c r="B4" s="675" t="s">
        <v>10</v>
      </c>
      <c r="C4" s="676">
        <v>1</v>
      </c>
      <c r="D4" s="677">
        <v>4</v>
      </c>
      <c r="E4" s="678">
        <v>5</v>
      </c>
      <c r="F4" s="678">
        <v>160</v>
      </c>
      <c r="G4" s="678">
        <v>12</v>
      </c>
      <c r="H4" s="678">
        <v>1200</v>
      </c>
      <c r="I4" s="679">
        <v>1</v>
      </c>
      <c r="J4" s="679">
        <v>1.24</v>
      </c>
      <c r="K4" s="676"/>
      <c r="L4" s="680">
        <f t="shared" si="20"/>
        <v>9.67741935483871</v>
      </c>
      <c r="M4" s="681">
        <f t="shared" si="21"/>
        <v>2.4193548387096775</v>
      </c>
      <c r="N4" s="682">
        <f t="shared" si="22"/>
        <v>4.032258064516129</v>
      </c>
      <c r="O4" s="683">
        <f t="shared" si="22"/>
        <v>3.629032258064516</v>
      </c>
      <c r="P4" s="683">
        <f t="shared" si="22"/>
        <v>3.2258064516129035</v>
      </c>
      <c r="Q4" s="683">
        <f t="shared" si="22"/>
        <v>2.8225806451612905</v>
      </c>
      <c r="R4" s="683" t="str">
        <f t="shared" si="22"/>
        <v>-</v>
      </c>
      <c r="S4" s="683" t="str">
        <f t="shared" si="22"/>
        <v>-</v>
      </c>
      <c r="T4" s="683" t="str">
        <f t="shared" si="22"/>
        <v>-</v>
      </c>
      <c r="U4" s="683" t="str">
        <f t="shared" si="22"/>
        <v>-</v>
      </c>
      <c r="V4" s="683" t="str">
        <f t="shared" si="22"/>
        <v>-</v>
      </c>
      <c r="W4" s="683" t="str">
        <f t="shared" si="22"/>
        <v>-</v>
      </c>
      <c r="X4" s="683" t="str">
        <f t="shared" si="23"/>
        <v>-</v>
      </c>
      <c r="Y4" s="683" t="str">
        <f t="shared" si="23"/>
        <v>-</v>
      </c>
      <c r="Z4" s="683" t="str">
        <f t="shared" si="23"/>
        <v>-</v>
      </c>
      <c r="AA4" s="683" t="str">
        <f t="shared" si="23"/>
        <v>-</v>
      </c>
      <c r="AB4" s="683" t="str">
        <f t="shared" si="23"/>
        <v>-</v>
      </c>
      <c r="AC4" s="683" t="str">
        <f t="shared" si="23"/>
        <v>-</v>
      </c>
      <c r="AD4" s="683" t="str">
        <f t="shared" si="23"/>
        <v>-</v>
      </c>
      <c r="AE4" s="683" t="str">
        <f t="shared" si="23"/>
        <v>-</v>
      </c>
      <c r="AF4" s="683" t="str">
        <f t="shared" si="23"/>
        <v>-</v>
      </c>
      <c r="AG4" s="683" t="str">
        <f t="shared" si="23"/>
        <v>-</v>
      </c>
      <c r="AH4" s="684" t="str">
        <f t="shared" si="23"/>
        <v>-</v>
      </c>
      <c r="AI4" s="682">
        <f>IF(N$2&lt;=$F4,N4/$D4,"-")</f>
        <v>1.0080645161290323</v>
      </c>
      <c r="AJ4" s="685">
        <f t="shared" ref="AJ4" si="54">IF(O$2&lt;=$F4,O4/$D4,"-")</f>
        <v>0.907258064516129</v>
      </c>
      <c r="AK4" s="683">
        <f t="shared" ref="AK4" si="55">IF(P$2&lt;=$F4,P4/$D4,"-")</f>
        <v>0.80645161290322587</v>
      </c>
      <c r="AL4" s="683">
        <f t="shared" ref="AL4" si="56">IF(Q$2&lt;=$F4,Q4/$D4,"-")</f>
        <v>0.70564516129032262</v>
      </c>
      <c r="AM4" s="686" t="str">
        <f t="shared" ref="AM4" si="57">IF(R$2&lt;=$F4,R4/$D4,"-")</f>
        <v>-</v>
      </c>
      <c r="AN4" s="686" t="str">
        <f t="shared" ref="AN4" si="58">IF(S$2&lt;=$F4,S4/$D4,"-")</f>
        <v>-</v>
      </c>
      <c r="AO4" s="686" t="str">
        <f t="shared" ref="AO4" si="59">IF(T$2&lt;=$F4,T4/$D4,"-")</f>
        <v>-</v>
      </c>
      <c r="AP4" s="686" t="str">
        <f t="shared" ref="AP4" si="60">IF(U$2&lt;=$F4,U4/$D4,"-")</f>
        <v>-</v>
      </c>
      <c r="AQ4" s="686" t="str">
        <f t="shared" ref="AQ4" si="61">IF(V$2&lt;=$F4,V4/$D4,"-")</f>
        <v>-</v>
      </c>
      <c r="AR4" s="686" t="str">
        <f t="shared" ref="AR4" si="62">IF(W$2&lt;=$F4,W4/$D4,"-")</f>
        <v>-</v>
      </c>
      <c r="AS4" s="683" t="str">
        <f t="shared" ref="AS4" si="63">IF(X$2&lt;=$F4,X4/$D4,"-")</f>
        <v>-</v>
      </c>
      <c r="AT4" s="683" t="str">
        <f t="shared" ref="AT4" si="64">IF(Y$2&lt;=$F4,Y4/$D4,"-")</f>
        <v>-</v>
      </c>
      <c r="AU4" s="683" t="str">
        <f t="shared" ref="AU4" si="65">IF(Z$2&lt;=$F4,Z4/$D4,"-")</f>
        <v>-</v>
      </c>
      <c r="AV4" s="686" t="str">
        <f t="shared" ref="AV4" si="66">IF(AA$2&lt;=$F4,AA4/$D4,"-")</f>
        <v>-</v>
      </c>
      <c r="AW4" s="686" t="str">
        <f t="shared" ref="AW4" si="67">IF(AB$2&lt;=$F4,AB4/$D4,"-")</f>
        <v>-</v>
      </c>
      <c r="AX4" s="686" t="str">
        <f t="shared" ref="AX4" si="68">IF(AC$2&lt;=$F4,AC4/$D4,"-")</f>
        <v>-</v>
      </c>
      <c r="AY4" s="686" t="str">
        <f t="shared" ref="AY4" si="69">IF(AD$2&lt;=$F4,AD4/$D4,"-")</f>
        <v>-</v>
      </c>
      <c r="AZ4" s="686" t="str">
        <f t="shared" ref="AZ4" si="70">IF(AE$2&lt;=$F4,AE4/$D4,"-")</f>
        <v>-</v>
      </c>
      <c r="BA4" s="686" t="str">
        <f t="shared" ref="BA4" si="71">IF(AF$2&lt;=$F4,AF4/$D4,"-")</f>
        <v>-</v>
      </c>
      <c r="BB4" s="686" t="str">
        <f t="shared" ref="BB4" si="72">IF(AG$2&lt;=$F4,AG4/$D4,"-")</f>
        <v>-</v>
      </c>
      <c r="BC4" s="687" t="str">
        <f t="shared" ref="BC4" si="73">IF(AH$2&lt;=$F4,AH4/$D4,"-")</f>
        <v>-</v>
      </c>
      <c r="BD4">
        <f t="shared" si="41"/>
        <v>5</v>
      </c>
      <c r="BE4">
        <f t="shared" si="41"/>
        <v>4.5</v>
      </c>
      <c r="BF4">
        <f t="shared" si="41"/>
        <v>4</v>
      </c>
      <c r="BG4">
        <f t="shared" si="41"/>
        <v>3.5</v>
      </c>
      <c r="BH4">
        <f t="shared" si="41"/>
        <v>3</v>
      </c>
      <c r="BI4">
        <f t="shared" si="41"/>
        <v>2.5</v>
      </c>
      <c r="BJ4">
        <f t="shared" si="41"/>
        <v>2</v>
      </c>
      <c r="BK4">
        <f t="shared" si="41"/>
        <v>1.5</v>
      </c>
      <c r="BL4">
        <f t="shared" si="41"/>
        <v>1</v>
      </c>
      <c r="BM4">
        <f t="shared" si="41"/>
        <v>0.5</v>
      </c>
      <c r="BN4">
        <f t="shared" si="41"/>
        <v>0</v>
      </c>
      <c r="BO4">
        <f t="shared" si="41"/>
        <v>-0.5</v>
      </c>
      <c r="BP4">
        <f t="shared" ref="BP4" si="74">BD4/$D4</f>
        <v>1.25</v>
      </c>
      <c r="BQ4">
        <f t="shared" ref="BQ4" si="75">BE4/$D4</f>
        <v>1.125</v>
      </c>
      <c r="BR4">
        <f t="shared" ref="BR4" si="76">BF4/$D4</f>
        <v>1</v>
      </c>
      <c r="BS4">
        <f t="shared" ref="BS4" si="77">BG4/$D4</f>
        <v>0.875</v>
      </c>
      <c r="BT4">
        <f t="shared" ref="BT4" si="78">BH4/$D4</f>
        <v>0.75</v>
      </c>
      <c r="BU4">
        <f t="shared" ref="BU4" si="79">BI4/$D4</f>
        <v>0.625</v>
      </c>
      <c r="BV4">
        <f t="shared" ref="BV4" si="80">BJ4/$D4</f>
        <v>0.5</v>
      </c>
      <c r="BW4">
        <f t="shared" ref="BW4" si="81">BK4/$D4</f>
        <v>0.375</v>
      </c>
      <c r="BX4">
        <f t="shared" ref="BX4" si="82">BL4/$D4</f>
        <v>0.25</v>
      </c>
      <c r="BY4">
        <f t="shared" ref="BY4" si="83">BM4/$D4</f>
        <v>0.125</v>
      </c>
      <c r="BZ4">
        <f t="shared" ref="BZ4" si="84">BN4/$D4</f>
        <v>0</v>
      </c>
      <c r="CA4">
        <f t="shared" ref="CA4" si="85">BO4/$D4</f>
        <v>-0.125</v>
      </c>
    </row>
    <row r="5" spans="1:79" x14ac:dyDescent="0.25">
      <c r="A5" s="817" t="s">
        <v>8</v>
      </c>
      <c r="B5" s="666" t="s">
        <v>9</v>
      </c>
      <c r="C5" s="663">
        <v>2</v>
      </c>
      <c r="D5" s="664">
        <v>5</v>
      </c>
      <c r="E5" s="665">
        <v>6</v>
      </c>
      <c r="F5" s="665">
        <v>190</v>
      </c>
      <c r="G5" s="665">
        <v>11</v>
      </c>
      <c r="H5" s="665">
        <v>1200</v>
      </c>
      <c r="I5" s="666">
        <v>1</v>
      </c>
      <c r="J5" s="666">
        <v>1.24</v>
      </c>
      <c r="K5" s="663"/>
      <c r="L5" s="667">
        <f t="shared" si="20"/>
        <v>8.870967741935484</v>
      </c>
      <c r="M5" s="668">
        <f t="shared" si="21"/>
        <v>1.7741935483870968</v>
      </c>
      <c r="N5" s="669">
        <f t="shared" si="22"/>
        <v>4.838709677419355</v>
      </c>
      <c r="O5" s="670">
        <f t="shared" si="22"/>
        <v>4.435483870967742</v>
      </c>
      <c r="P5" s="670">
        <f t="shared" si="22"/>
        <v>4.032258064516129</v>
      </c>
      <c r="Q5" s="670">
        <f t="shared" si="22"/>
        <v>3.629032258064516</v>
      </c>
      <c r="R5" s="673" t="str">
        <f t="shared" si="22"/>
        <v>-</v>
      </c>
      <c r="S5" s="673" t="str">
        <f t="shared" si="22"/>
        <v>-</v>
      </c>
      <c r="T5" s="673" t="str">
        <f t="shared" si="22"/>
        <v>-</v>
      </c>
      <c r="U5" s="673" t="str">
        <f t="shared" si="22"/>
        <v>-</v>
      </c>
      <c r="V5" s="673" t="str">
        <f t="shared" si="22"/>
        <v>-</v>
      </c>
      <c r="W5" s="673" t="str">
        <f t="shared" si="22"/>
        <v>-</v>
      </c>
      <c r="X5" s="673" t="str">
        <f t="shared" si="23"/>
        <v>-</v>
      </c>
      <c r="Y5" s="688" t="str">
        <f t="shared" si="23"/>
        <v>-</v>
      </c>
      <c r="Z5" s="670" t="str">
        <f t="shared" si="23"/>
        <v>-</v>
      </c>
      <c r="AA5" s="670" t="str">
        <f t="shared" si="23"/>
        <v>-</v>
      </c>
      <c r="AB5" s="670" t="str">
        <f t="shared" si="23"/>
        <v>-</v>
      </c>
      <c r="AC5" s="670" t="str">
        <f t="shared" si="23"/>
        <v>-</v>
      </c>
      <c r="AD5" s="673" t="str">
        <f t="shared" si="23"/>
        <v>-</v>
      </c>
      <c r="AE5" s="673" t="str">
        <f t="shared" si="23"/>
        <v>-</v>
      </c>
      <c r="AF5" s="673" t="str">
        <f t="shared" si="23"/>
        <v>-</v>
      </c>
      <c r="AG5" s="673" t="str">
        <f t="shared" si="23"/>
        <v>-</v>
      </c>
      <c r="AH5" s="688" t="str">
        <f t="shared" si="23"/>
        <v>-</v>
      </c>
      <c r="AI5" s="669">
        <f t="shared" ref="AI5:AI95" si="86">IF(N$2&lt;=$F5,N5/$D5,"-")</f>
        <v>0.967741935483871</v>
      </c>
      <c r="AJ5" s="670">
        <f t="shared" ref="AJ5:AJ95" si="87">IF(O$2&lt;=$F5,O5/$D5,"-")</f>
        <v>0.88709677419354838</v>
      </c>
      <c r="AK5" s="670">
        <f t="shared" ref="AK5:AK95" si="88">IF(P$2&lt;=$F5,P5/$D5,"-")</f>
        <v>0.80645161290322576</v>
      </c>
      <c r="AL5" s="670">
        <f t="shared" ref="AL5:AL95" si="89">IF(Q$2&lt;=$F5,Q5/$D5,"-")</f>
        <v>0.72580645161290325</v>
      </c>
      <c r="AM5" s="673" t="str">
        <f t="shared" ref="AM5:AM95" si="90">IF(R$2&lt;=$F5,R5/$D5,"-")</f>
        <v>-</v>
      </c>
      <c r="AN5" s="673" t="str">
        <f t="shared" ref="AN5:AN95" si="91">IF(S$2&lt;=$F5,S5/$D5,"-")</f>
        <v>-</v>
      </c>
      <c r="AO5" s="673" t="str">
        <f t="shared" ref="AO5:AO95" si="92">IF(T$2&lt;=$F5,T5/$D5,"-")</f>
        <v>-</v>
      </c>
      <c r="AP5" s="673" t="str">
        <f t="shared" ref="AP5:AP95" si="93">IF(U$2&lt;=$F5,U5/$D5,"-")</f>
        <v>-</v>
      </c>
      <c r="AQ5" s="673" t="str">
        <f t="shared" ref="AQ5:AQ95" si="94">IF(V$2&lt;=$F5,V5/$D5,"-")</f>
        <v>-</v>
      </c>
      <c r="AR5" s="673" t="str">
        <f t="shared" ref="AR5:AR95" si="95">IF(W$2&lt;=$F5,W5/$D5,"-")</f>
        <v>-</v>
      </c>
      <c r="AS5" s="670" t="str">
        <f t="shared" ref="AS5:AS95" si="96">IF(X$2&lt;=$F5,X5/$D5,"-")</f>
        <v>-</v>
      </c>
      <c r="AT5" s="670" t="str">
        <f t="shared" ref="AT5:AT95" si="97">IF(Y$2&lt;=$F5,Y5/$D5,"-")</f>
        <v>-</v>
      </c>
      <c r="AU5" s="670" t="str">
        <f t="shared" ref="AU5:AU95" si="98">IF(Z$2&lt;=$F5,Z5/$D5,"-")</f>
        <v>-</v>
      </c>
      <c r="AV5" s="673" t="str">
        <f t="shared" ref="AV5:AV95" si="99">IF(AA$2&lt;=$F5,AA5/$D5,"-")</f>
        <v>-</v>
      </c>
      <c r="AW5" s="673" t="str">
        <f t="shared" ref="AW5:AW95" si="100">IF(AB$2&lt;=$F5,AB5/$D5,"-")</f>
        <v>-</v>
      </c>
      <c r="AX5" s="673" t="str">
        <f t="shared" ref="AX5:AX95" si="101">IF(AC$2&lt;=$F5,AC5/$D5,"-")</f>
        <v>-</v>
      </c>
      <c r="AY5" s="673" t="str">
        <f t="shared" ref="AY5:AY95" si="102">IF(AD$2&lt;=$F5,AD5/$D5,"-")</f>
        <v>-</v>
      </c>
      <c r="AZ5" s="673" t="str">
        <f t="shared" ref="AZ5:AZ95" si="103">IF(AE$2&lt;=$F5,AE5/$D5,"-")</f>
        <v>-</v>
      </c>
      <c r="BA5" s="673" t="str">
        <f t="shared" ref="BA5:BA95" si="104">IF(AF$2&lt;=$F5,AF5/$D5,"-")</f>
        <v>-</v>
      </c>
      <c r="BB5" s="673" t="str">
        <f t="shared" ref="BB5:BB95" si="105">IF(AG$2&lt;=$F5,AG5/$D5,"-")</f>
        <v>-</v>
      </c>
      <c r="BC5" s="674" t="str">
        <f t="shared" ref="BC5:BC95" si="106">IF(AH$2&lt;=$F5,AH5/$D5,"-")</f>
        <v>-</v>
      </c>
      <c r="BD5">
        <f t="shared" si="41"/>
        <v>6</v>
      </c>
      <c r="BE5">
        <f t="shared" si="41"/>
        <v>5.5</v>
      </c>
      <c r="BF5">
        <f t="shared" si="41"/>
        <v>5</v>
      </c>
      <c r="BG5">
        <f t="shared" si="41"/>
        <v>4.5</v>
      </c>
      <c r="BH5">
        <f t="shared" si="41"/>
        <v>4</v>
      </c>
      <c r="BI5">
        <f t="shared" si="41"/>
        <v>3.5</v>
      </c>
      <c r="BJ5">
        <f t="shared" si="41"/>
        <v>3</v>
      </c>
      <c r="BK5">
        <f t="shared" si="41"/>
        <v>2.5</v>
      </c>
      <c r="BL5">
        <f t="shared" si="41"/>
        <v>2</v>
      </c>
      <c r="BM5">
        <f t="shared" si="41"/>
        <v>1.5</v>
      </c>
      <c r="BN5">
        <f t="shared" si="41"/>
        <v>1</v>
      </c>
      <c r="BO5">
        <f t="shared" si="41"/>
        <v>0.5</v>
      </c>
      <c r="BP5">
        <f t="shared" si="42"/>
        <v>1.2</v>
      </c>
      <c r="BQ5">
        <f t="shared" si="43"/>
        <v>1.1000000000000001</v>
      </c>
      <c r="BR5">
        <f t="shared" si="44"/>
        <v>1</v>
      </c>
      <c r="BS5">
        <f t="shared" si="45"/>
        <v>0.9</v>
      </c>
      <c r="BT5">
        <f t="shared" si="46"/>
        <v>0.8</v>
      </c>
      <c r="BU5">
        <f t="shared" si="47"/>
        <v>0.7</v>
      </c>
      <c r="BV5">
        <f t="shared" si="48"/>
        <v>0.6</v>
      </c>
      <c r="BW5">
        <f t="shared" si="49"/>
        <v>0.5</v>
      </c>
      <c r="BX5">
        <f t="shared" si="50"/>
        <v>0.4</v>
      </c>
      <c r="BY5">
        <f t="shared" si="51"/>
        <v>0.3</v>
      </c>
      <c r="BZ5">
        <f t="shared" si="52"/>
        <v>0.2</v>
      </c>
      <c r="CA5">
        <f t="shared" si="53"/>
        <v>0.1</v>
      </c>
    </row>
    <row r="6" spans="1:79" x14ac:dyDescent="0.25">
      <c r="A6" s="818"/>
      <c r="B6" s="689" t="s">
        <v>10</v>
      </c>
      <c r="C6" s="690">
        <v>3</v>
      </c>
      <c r="D6" s="691">
        <v>5</v>
      </c>
      <c r="E6" s="692">
        <v>7</v>
      </c>
      <c r="F6" s="692">
        <v>220</v>
      </c>
      <c r="G6" s="692">
        <v>12</v>
      </c>
      <c r="H6" s="692">
        <v>1200</v>
      </c>
      <c r="I6" s="689">
        <v>1</v>
      </c>
      <c r="J6" s="689">
        <v>1.24</v>
      </c>
      <c r="K6" s="690"/>
      <c r="L6" s="693">
        <f t="shared" si="20"/>
        <v>9.67741935483871</v>
      </c>
      <c r="M6" s="694">
        <f t="shared" si="21"/>
        <v>1.935483870967742</v>
      </c>
      <c r="N6" s="695">
        <f t="shared" si="22"/>
        <v>5.645161290322581</v>
      </c>
      <c r="O6" s="696">
        <f t="shared" si="22"/>
        <v>5.241935483870968</v>
      </c>
      <c r="P6" s="696">
        <f t="shared" si="22"/>
        <v>4.838709677419355</v>
      </c>
      <c r="Q6" s="696">
        <f t="shared" si="22"/>
        <v>4.435483870967742</v>
      </c>
      <c r="R6" s="696">
        <f t="shared" si="22"/>
        <v>4.032258064516129</v>
      </c>
      <c r="S6" s="697" t="str">
        <f t="shared" si="22"/>
        <v>-</v>
      </c>
      <c r="T6" s="697" t="str">
        <f t="shared" si="22"/>
        <v>-</v>
      </c>
      <c r="U6" s="697" t="str">
        <f t="shared" si="22"/>
        <v>-</v>
      </c>
      <c r="V6" s="697" t="str">
        <f t="shared" si="22"/>
        <v>-</v>
      </c>
      <c r="W6" s="697" t="str">
        <f t="shared" si="22"/>
        <v>-</v>
      </c>
      <c r="X6" s="697" t="str">
        <f t="shared" si="23"/>
        <v>-</v>
      </c>
      <c r="Y6" s="698" t="str">
        <f t="shared" si="23"/>
        <v>-</v>
      </c>
      <c r="Z6" s="696" t="str">
        <f t="shared" si="23"/>
        <v>-</v>
      </c>
      <c r="AA6" s="696" t="str">
        <f t="shared" si="23"/>
        <v>-</v>
      </c>
      <c r="AB6" s="696" t="str">
        <f t="shared" si="23"/>
        <v>-</v>
      </c>
      <c r="AC6" s="696" t="str">
        <f t="shared" si="23"/>
        <v>-</v>
      </c>
      <c r="AD6" s="696" t="str">
        <f t="shared" si="23"/>
        <v>-</v>
      </c>
      <c r="AE6" s="697" t="str">
        <f t="shared" si="23"/>
        <v>-</v>
      </c>
      <c r="AF6" s="697" t="str">
        <f t="shared" si="23"/>
        <v>-</v>
      </c>
      <c r="AG6" s="697" t="str">
        <f t="shared" si="23"/>
        <v>-</v>
      </c>
      <c r="AH6" s="698" t="str">
        <f t="shared" si="23"/>
        <v>-</v>
      </c>
      <c r="AI6" s="695">
        <f t="shared" si="86"/>
        <v>1.1290322580645162</v>
      </c>
      <c r="AJ6" s="696">
        <f t="shared" si="87"/>
        <v>1.0483870967741935</v>
      </c>
      <c r="AK6" s="696">
        <f t="shared" si="88"/>
        <v>0.967741935483871</v>
      </c>
      <c r="AL6" s="696">
        <f t="shared" si="89"/>
        <v>0.88709677419354838</v>
      </c>
      <c r="AM6" s="696">
        <f t="shared" si="90"/>
        <v>0.80645161290322576</v>
      </c>
      <c r="AN6" s="697" t="str">
        <f t="shared" si="91"/>
        <v>-</v>
      </c>
      <c r="AO6" s="697" t="str">
        <f t="shared" si="92"/>
        <v>-</v>
      </c>
      <c r="AP6" s="697" t="str">
        <f t="shared" si="93"/>
        <v>-</v>
      </c>
      <c r="AQ6" s="697" t="str">
        <f t="shared" si="94"/>
        <v>-</v>
      </c>
      <c r="AR6" s="697" t="str">
        <f t="shared" si="95"/>
        <v>-</v>
      </c>
      <c r="AS6" s="696" t="str">
        <f t="shared" si="96"/>
        <v>-</v>
      </c>
      <c r="AT6" s="696" t="str">
        <f t="shared" si="97"/>
        <v>-</v>
      </c>
      <c r="AU6" s="696" t="str">
        <f t="shared" si="98"/>
        <v>-</v>
      </c>
      <c r="AV6" s="696" t="str">
        <f t="shared" si="99"/>
        <v>-</v>
      </c>
      <c r="AW6" s="697" t="str">
        <f t="shared" si="100"/>
        <v>-</v>
      </c>
      <c r="AX6" s="697" t="str">
        <f t="shared" si="101"/>
        <v>-</v>
      </c>
      <c r="AY6" s="697" t="str">
        <f t="shared" si="102"/>
        <v>-</v>
      </c>
      <c r="AZ6" s="697" t="str">
        <f t="shared" si="103"/>
        <v>-</v>
      </c>
      <c r="BA6" s="697" t="str">
        <f t="shared" si="104"/>
        <v>-</v>
      </c>
      <c r="BB6" s="697" t="str">
        <f t="shared" si="105"/>
        <v>-</v>
      </c>
      <c r="BC6" s="699" t="str">
        <f t="shared" si="106"/>
        <v>-</v>
      </c>
      <c r="BD6">
        <f t="shared" si="41"/>
        <v>7</v>
      </c>
      <c r="BE6">
        <f t="shared" si="41"/>
        <v>6.5</v>
      </c>
      <c r="BF6">
        <f t="shared" si="41"/>
        <v>6</v>
      </c>
      <c r="BG6">
        <f t="shared" si="41"/>
        <v>5.5</v>
      </c>
      <c r="BH6">
        <f t="shared" si="41"/>
        <v>5</v>
      </c>
      <c r="BI6">
        <f t="shared" si="41"/>
        <v>4.5</v>
      </c>
      <c r="BJ6">
        <f t="shared" si="41"/>
        <v>4</v>
      </c>
      <c r="BK6">
        <f t="shared" si="41"/>
        <v>3.5</v>
      </c>
      <c r="BL6">
        <f t="shared" si="41"/>
        <v>3</v>
      </c>
      <c r="BM6">
        <f t="shared" si="41"/>
        <v>2.5</v>
      </c>
      <c r="BN6">
        <f t="shared" si="41"/>
        <v>2</v>
      </c>
      <c r="BO6">
        <f t="shared" si="41"/>
        <v>1.5</v>
      </c>
      <c r="BP6">
        <f t="shared" si="42"/>
        <v>1.4</v>
      </c>
      <c r="BQ6">
        <f t="shared" si="43"/>
        <v>1.3</v>
      </c>
      <c r="BR6">
        <f t="shared" si="44"/>
        <v>1.2</v>
      </c>
      <c r="BS6">
        <f t="shared" si="45"/>
        <v>1.1000000000000001</v>
      </c>
      <c r="BT6">
        <f t="shared" si="46"/>
        <v>1</v>
      </c>
      <c r="BU6">
        <f t="shared" si="47"/>
        <v>0.9</v>
      </c>
      <c r="BV6">
        <f t="shared" si="48"/>
        <v>0.8</v>
      </c>
      <c r="BW6">
        <f t="shared" si="49"/>
        <v>0.7</v>
      </c>
      <c r="BX6">
        <f t="shared" si="50"/>
        <v>0.6</v>
      </c>
      <c r="BY6">
        <f t="shared" si="51"/>
        <v>0.5</v>
      </c>
      <c r="BZ6">
        <f t="shared" si="52"/>
        <v>0.4</v>
      </c>
      <c r="CA6">
        <f t="shared" si="53"/>
        <v>0.3</v>
      </c>
    </row>
    <row r="7" spans="1:79" ht="15.75" thickBot="1" x14ac:dyDescent="0.3">
      <c r="A7" s="819"/>
      <c r="B7" s="700" t="s">
        <v>11</v>
      </c>
      <c r="C7" s="701">
        <v>4</v>
      </c>
      <c r="D7" s="702">
        <v>5</v>
      </c>
      <c r="E7" s="703">
        <v>8</v>
      </c>
      <c r="F7" s="703">
        <v>260</v>
      </c>
      <c r="G7" s="703">
        <v>10</v>
      </c>
      <c r="H7" s="703">
        <v>1200</v>
      </c>
      <c r="I7" s="700">
        <v>1</v>
      </c>
      <c r="J7" s="700">
        <v>1.24</v>
      </c>
      <c r="K7" s="701"/>
      <c r="L7" s="704">
        <f t="shared" si="20"/>
        <v>8.064516129032258</v>
      </c>
      <c r="M7" s="705">
        <f t="shared" si="21"/>
        <v>1.6129032258064515</v>
      </c>
      <c r="N7" s="706">
        <f t="shared" si="22"/>
        <v>6.4516129032258069</v>
      </c>
      <c r="O7" s="707">
        <f t="shared" si="22"/>
        <v>6.0483870967741939</v>
      </c>
      <c r="P7" s="707">
        <f t="shared" si="22"/>
        <v>5.645161290322581</v>
      </c>
      <c r="Q7" s="707">
        <f t="shared" si="22"/>
        <v>5.241935483870968</v>
      </c>
      <c r="R7" s="707">
        <f t="shared" si="22"/>
        <v>4.838709677419355</v>
      </c>
      <c r="S7" s="707">
        <f t="shared" si="22"/>
        <v>4.435483870967742</v>
      </c>
      <c r="T7" s="708" t="str">
        <f t="shared" si="22"/>
        <v>-</v>
      </c>
      <c r="U7" s="708" t="str">
        <f t="shared" si="22"/>
        <v>-</v>
      </c>
      <c r="V7" s="708" t="str">
        <f t="shared" si="22"/>
        <v>-</v>
      </c>
      <c r="W7" s="708" t="str">
        <f t="shared" si="22"/>
        <v>-</v>
      </c>
      <c r="X7" s="708" t="str">
        <f t="shared" si="23"/>
        <v>-</v>
      </c>
      <c r="Y7" s="709" t="str">
        <f t="shared" si="23"/>
        <v>-</v>
      </c>
      <c r="Z7" s="707" t="str">
        <f t="shared" si="23"/>
        <v>-</v>
      </c>
      <c r="AA7" s="707" t="str">
        <f t="shared" si="23"/>
        <v>-</v>
      </c>
      <c r="AB7" s="707" t="str">
        <f t="shared" si="23"/>
        <v>-</v>
      </c>
      <c r="AC7" s="707" t="str">
        <f t="shared" si="23"/>
        <v>-</v>
      </c>
      <c r="AD7" s="707" t="str">
        <f t="shared" si="23"/>
        <v>-</v>
      </c>
      <c r="AE7" s="707" t="str">
        <f t="shared" si="23"/>
        <v>-</v>
      </c>
      <c r="AF7" s="708" t="str">
        <f t="shared" si="23"/>
        <v>-</v>
      </c>
      <c r="AG7" s="708" t="str">
        <f t="shared" si="23"/>
        <v>-</v>
      </c>
      <c r="AH7" s="709" t="str">
        <f t="shared" si="23"/>
        <v>-</v>
      </c>
      <c r="AI7" s="706">
        <f t="shared" si="86"/>
        <v>1.2903225806451615</v>
      </c>
      <c r="AJ7" s="707">
        <f t="shared" si="87"/>
        <v>1.2096774193548387</v>
      </c>
      <c r="AK7" s="707">
        <f t="shared" si="88"/>
        <v>1.1290322580645162</v>
      </c>
      <c r="AL7" s="707">
        <f t="shared" si="89"/>
        <v>1.0483870967741935</v>
      </c>
      <c r="AM7" s="707">
        <f t="shared" si="90"/>
        <v>0.967741935483871</v>
      </c>
      <c r="AN7" s="707">
        <f t="shared" si="91"/>
        <v>0.88709677419354838</v>
      </c>
      <c r="AO7" s="708" t="str">
        <f t="shared" si="92"/>
        <v>-</v>
      </c>
      <c r="AP7" s="708" t="str">
        <f t="shared" si="93"/>
        <v>-</v>
      </c>
      <c r="AQ7" s="708" t="str">
        <f t="shared" si="94"/>
        <v>-</v>
      </c>
      <c r="AR7" s="708" t="str">
        <f t="shared" si="95"/>
        <v>-</v>
      </c>
      <c r="AS7" s="707" t="str">
        <f t="shared" si="96"/>
        <v>-</v>
      </c>
      <c r="AT7" s="707" t="str">
        <f t="shared" si="97"/>
        <v>-</v>
      </c>
      <c r="AU7" s="707" t="str">
        <f t="shared" si="98"/>
        <v>-</v>
      </c>
      <c r="AV7" s="707" t="str">
        <f t="shared" si="99"/>
        <v>-</v>
      </c>
      <c r="AW7" s="707" t="str">
        <f t="shared" si="100"/>
        <v>-</v>
      </c>
      <c r="AX7" s="708" t="str">
        <f t="shared" si="101"/>
        <v>-</v>
      </c>
      <c r="AY7" s="708" t="str">
        <f t="shared" si="102"/>
        <v>-</v>
      </c>
      <c r="AZ7" s="708" t="str">
        <f t="shared" si="103"/>
        <v>-</v>
      </c>
      <c r="BA7" s="708" t="str">
        <f t="shared" si="104"/>
        <v>-</v>
      </c>
      <c r="BB7" s="708" t="str">
        <f t="shared" si="105"/>
        <v>-</v>
      </c>
      <c r="BC7" s="710" t="str">
        <f t="shared" si="106"/>
        <v>-</v>
      </c>
      <c r="BD7">
        <f t="shared" si="41"/>
        <v>8</v>
      </c>
      <c r="BE7">
        <f t="shared" si="41"/>
        <v>7.5</v>
      </c>
      <c r="BF7">
        <f t="shared" si="41"/>
        <v>7</v>
      </c>
      <c r="BG7">
        <f t="shared" si="41"/>
        <v>6.5</v>
      </c>
      <c r="BH7">
        <f t="shared" si="41"/>
        <v>6</v>
      </c>
      <c r="BI7">
        <f t="shared" si="41"/>
        <v>5.5</v>
      </c>
      <c r="BJ7">
        <f t="shared" si="41"/>
        <v>5</v>
      </c>
      <c r="BK7">
        <f t="shared" si="41"/>
        <v>4.5</v>
      </c>
      <c r="BL7">
        <f t="shared" si="41"/>
        <v>4</v>
      </c>
      <c r="BM7">
        <f t="shared" si="41"/>
        <v>3.5</v>
      </c>
      <c r="BN7">
        <f t="shared" si="41"/>
        <v>3</v>
      </c>
      <c r="BO7">
        <f t="shared" si="41"/>
        <v>2.5</v>
      </c>
      <c r="BP7">
        <f t="shared" si="42"/>
        <v>1.6</v>
      </c>
      <c r="BQ7">
        <f t="shared" si="43"/>
        <v>1.5</v>
      </c>
      <c r="BR7">
        <f t="shared" si="44"/>
        <v>1.4</v>
      </c>
      <c r="BS7">
        <f t="shared" si="45"/>
        <v>1.3</v>
      </c>
      <c r="BT7">
        <f t="shared" si="46"/>
        <v>1.2</v>
      </c>
      <c r="BU7">
        <f t="shared" si="47"/>
        <v>1.1000000000000001</v>
      </c>
      <c r="BV7">
        <f t="shared" si="48"/>
        <v>1</v>
      </c>
      <c r="BW7">
        <f t="shared" si="49"/>
        <v>0.9</v>
      </c>
      <c r="BX7">
        <f t="shared" si="50"/>
        <v>0.8</v>
      </c>
      <c r="BY7">
        <f t="shared" si="51"/>
        <v>0.7</v>
      </c>
      <c r="BZ7">
        <f t="shared" si="52"/>
        <v>0.6</v>
      </c>
      <c r="CA7">
        <f t="shared" si="53"/>
        <v>0.5</v>
      </c>
    </row>
    <row r="8" spans="1:79" x14ac:dyDescent="0.25">
      <c r="A8" s="817" t="s">
        <v>12</v>
      </c>
      <c r="B8" s="666" t="s">
        <v>9</v>
      </c>
      <c r="C8" s="663">
        <v>2</v>
      </c>
      <c r="D8" s="664">
        <v>5</v>
      </c>
      <c r="E8" s="665">
        <v>13</v>
      </c>
      <c r="F8" s="665">
        <v>310</v>
      </c>
      <c r="G8" s="665">
        <v>24</v>
      </c>
      <c r="H8" s="665">
        <v>1200</v>
      </c>
      <c r="I8" s="666">
        <v>3</v>
      </c>
      <c r="J8" s="666">
        <v>1.4</v>
      </c>
      <c r="K8" s="663"/>
      <c r="L8" s="667">
        <f t="shared" si="20"/>
        <v>17.142857142857142</v>
      </c>
      <c r="M8" s="668">
        <f t="shared" si="21"/>
        <v>3.4285714285714284</v>
      </c>
      <c r="N8" s="669">
        <f t="shared" si="22"/>
        <v>9.2857142857142865</v>
      </c>
      <c r="O8" s="670">
        <f t="shared" si="22"/>
        <v>8.2142857142857153</v>
      </c>
      <c r="P8" s="670">
        <f t="shared" si="22"/>
        <v>7.1428571428571432</v>
      </c>
      <c r="Q8" s="670">
        <f t="shared" si="22"/>
        <v>6.0714285714285721</v>
      </c>
      <c r="R8" s="670">
        <f t="shared" si="22"/>
        <v>5</v>
      </c>
      <c r="S8" s="670">
        <f t="shared" si="22"/>
        <v>3.9285714285714288</v>
      </c>
      <c r="T8" s="670">
        <f t="shared" si="22"/>
        <v>2.8571428571428572</v>
      </c>
      <c r="U8" s="673" t="str">
        <f t="shared" si="22"/>
        <v>-</v>
      </c>
      <c r="V8" s="673" t="str">
        <f t="shared" si="22"/>
        <v>-</v>
      </c>
      <c r="W8" s="673" t="str">
        <f t="shared" si="22"/>
        <v>-</v>
      </c>
      <c r="X8" s="673" t="str">
        <f t="shared" si="23"/>
        <v>-</v>
      </c>
      <c r="Y8" s="688" t="str">
        <f t="shared" si="23"/>
        <v>-</v>
      </c>
      <c r="Z8" s="670" t="str">
        <f t="shared" si="23"/>
        <v>-</v>
      </c>
      <c r="AA8" s="670" t="str">
        <f t="shared" si="23"/>
        <v>-</v>
      </c>
      <c r="AB8" s="670" t="str">
        <f t="shared" si="23"/>
        <v>-</v>
      </c>
      <c r="AC8" s="670" t="str">
        <f t="shared" si="23"/>
        <v>-</v>
      </c>
      <c r="AD8" s="670" t="str">
        <f t="shared" si="23"/>
        <v>-</v>
      </c>
      <c r="AE8" s="670" t="str">
        <f t="shared" si="23"/>
        <v>-</v>
      </c>
      <c r="AF8" s="670" t="str">
        <f t="shared" si="23"/>
        <v>-</v>
      </c>
      <c r="AG8" s="673" t="str">
        <f t="shared" si="23"/>
        <v>-</v>
      </c>
      <c r="AH8" s="688" t="str">
        <f t="shared" si="23"/>
        <v>-</v>
      </c>
      <c r="AI8" s="669">
        <f t="shared" si="86"/>
        <v>1.8571428571428572</v>
      </c>
      <c r="AJ8" s="670">
        <f t="shared" si="87"/>
        <v>1.642857142857143</v>
      </c>
      <c r="AK8" s="670">
        <f t="shared" si="88"/>
        <v>1.4285714285714286</v>
      </c>
      <c r="AL8" s="670">
        <f t="shared" si="89"/>
        <v>1.2142857142857144</v>
      </c>
      <c r="AM8" s="670">
        <f t="shared" si="90"/>
        <v>1</v>
      </c>
      <c r="AN8" s="670">
        <f t="shared" si="91"/>
        <v>0.78571428571428581</v>
      </c>
      <c r="AO8" s="670">
        <f t="shared" si="92"/>
        <v>0.5714285714285714</v>
      </c>
      <c r="AP8" s="673" t="str">
        <f t="shared" si="93"/>
        <v>-</v>
      </c>
      <c r="AQ8" s="673" t="str">
        <f t="shared" si="94"/>
        <v>-</v>
      </c>
      <c r="AR8" s="673" t="str">
        <f t="shared" si="95"/>
        <v>-</v>
      </c>
      <c r="AS8" s="670" t="str">
        <f t="shared" si="96"/>
        <v>-</v>
      </c>
      <c r="AT8" s="670" t="str">
        <f t="shared" si="97"/>
        <v>-</v>
      </c>
      <c r="AU8" s="670" t="str">
        <f t="shared" si="98"/>
        <v>-</v>
      </c>
      <c r="AV8" s="670" t="str">
        <f t="shared" si="99"/>
        <v>-</v>
      </c>
      <c r="AW8" s="670" t="str">
        <f t="shared" si="100"/>
        <v>-</v>
      </c>
      <c r="AX8" s="670" t="str">
        <f t="shared" si="101"/>
        <v>-</v>
      </c>
      <c r="AY8" s="673" t="str">
        <f t="shared" si="102"/>
        <v>-</v>
      </c>
      <c r="AZ8" s="673" t="str">
        <f t="shared" si="103"/>
        <v>-</v>
      </c>
      <c r="BA8" s="673" t="str">
        <f t="shared" si="104"/>
        <v>-</v>
      </c>
      <c r="BB8" s="673" t="str">
        <f t="shared" si="105"/>
        <v>-</v>
      </c>
      <c r="BC8" s="674" t="str">
        <f t="shared" si="106"/>
        <v>-</v>
      </c>
      <c r="BD8">
        <f t="shared" si="41"/>
        <v>13</v>
      </c>
      <c r="BE8">
        <f t="shared" si="41"/>
        <v>11.5</v>
      </c>
      <c r="BF8">
        <f t="shared" si="41"/>
        <v>10</v>
      </c>
      <c r="BG8">
        <f t="shared" si="41"/>
        <v>8.5</v>
      </c>
      <c r="BH8">
        <f t="shared" si="41"/>
        <v>7</v>
      </c>
      <c r="BI8">
        <f t="shared" si="41"/>
        <v>5.5</v>
      </c>
      <c r="BJ8">
        <f t="shared" si="41"/>
        <v>4</v>
      </c>
      <c r="BK8">
        <f t="shared" si="41"/>
        <v>2.5</v>
      </c>
      <c r="BL8">
        <f t="shared" si="41"/>
        <v>1</v>
      </c>
      <c r="BM8">
        <f t="shared" si="41"/>
        <v>-0.5</v>
      </c>
      <c r="BN8">
        <f t="shared" si="41"/>
        <v>-2</v>
      </c>
      <c r="BO8">
        <f t="shared" si="41"/>
        <v>-3.5</v>
      </c>
      <c r="BP8">
        <f t="shared" si="42"/>
        <v>2.6</v>
      </c>
      <c r="BQ8">
        <f t="shared" si="43"/>
        <v>2.2999999999999998</v>
      </c>
      <c r="BR8">
        <f t="shared" si="44"/>
        <v>2</v>
      </c>
      <c r="BS8">
        <f t="shared" si="45"/>
        <v>1.7</v>
      </c>
      <c r="BT8">
        <f t="shared" si="46"/>
        <v>1.4</v>
      </c>
      <c r="BU8">
        <f t="shared" si="47"/>
        <v>1.1000000000000001</v>
      </c>
      <c r="BV8">
        <f t="shared" si="48"/>
        <v>0.8</v>
      </c>
      <c r="BW8">
        <f t="shared" si="49"/>
        <v>0.5</v>
      </c>
      <c r="BX8">
        <f t="shared" si="50"/>
        <v>0.2</v>
      </c>
      <c r="BY8">
        <f t="shared" si="51"/>
        <v>-0.1</v>
      </c>
      <c r="BZ8">
        <f t="shared" si="52"/>
        <v>-0.4</v>
      </c>
      <c r="CA8">
        <f t="shared" si="53"/>
        <v>-0.7</v>
      </c>
    </row>
    <row r="9" spans="1:79" x14ac:dyDescent="0.25">
      <c r="A9" s="818"/>
      <c r="B9" s="689" t="s">
        <v>10</v>
      </c>
      <c r="C9" s="690">
        <v>4</v>
      </c>
      <c r="D9" s="691">
        <v>5</v>
      </c>
      <c r="E9" s="692">
        <v>18</v>
      </c>
      <c r="F9" s="692">
        <v>380</v>
      </c>
      <c r="G9" s="692">
        <v>24</v>
      </c>
      <c r="H9" s="692">
        <v>1200</v>
      </c>
      <c r="I9" s="689">
        <v>3</v>
      </c>
      <c r="J9" s="689">
        <v>1.4</v>
      </c>
      <c r="K9" s="690"/>
      <c r="L9" s="693">
        <f t="shared" si="20"/>
        <v>17.142857142857142</v>
      </c>
      <c r="M9" s="694">
        <f t="shared" si="21"/>
        <v>3.4285714285714284</v>
      </c>
      <c r="N9" s="695">
        <f t="shared" si="22"/>
        <v>12.857142857142858</v>
      </c>
      <c r="O9" s="696">
        <f t="shared" si="22"/>
        <v>11.785714285714286</v>
      </c>
      <c r="P9" s="696">
        <f t="shared" si="22"/>
        <v>10.714285714285715</v>
      </c>
      <c r="Q9" s="696">
        <f t="shared" si="22"/>
        <v>9.6428571428571441</v>
      </c>
      <c r="R9" s="696">
        <f t="shared" si="22"/>
        <v>8.5714285714285712</v>
      </c>
      <c r="S9" s="696">
        <f t="shared" si="22"/>
        <v>7.5000000000000009</v>
      </c>
      <c r="T9" s="696">
        <f t="shared" si="22"/>
        <v>6.4285714285714288</v>
      </c>
      <c r="U9" s="696">
        <f t="shared" si="22"/>
        <v>5.3571428571428577</v>
      </c>
      <c r="V9" s="697" t="str">
        <f t="shared" si="22"/>
        <v>-</v>
      </c>
      <c r="W9" s="697" t="str">
        <f t="shared" si="22"/>
        <v>-</v>
      </c>
      <c r="X9" s="697" t="str">
        <f t="shared" si="23"/>
        <v>-</v>
      </c>
      <c r="Y9" s="698" t="str">
        <f t="shared" si="23"/>
        <v>-</v>
      </c>
      <c r="Z9" s="696" t="str">
        <f t="shared" si="23"/>
        <v>-</v>
      </c>
      <c r="AA9" s="696" t="str">
        <f t="shared" si="23"/>
        <v>-</v>
      </c>
      <c r="AB9" s="696" t="str">
        <f t="shared" si="23"/>
        <v>-</v>
      </c>
      <c r="AC9" s="696" t="str">
        <f t="shared" si="23"/>
        <v>-</v>
      </c>
      <c r="AD9" s="696" t="str">
        <f t="shared" si="23"/>
        <v>-</v>
      </c>
      <c r="AE9" s="696" t="str">
        <f t="shared" si="23"/>
        <v>-</v>
      </c>
      <c r="AF9" s="696" t="str">
        <f t="shared" si="23"/>
        <v>-</v>
      </c>
      <c r="AG9" s="696" t="str">
        <f t="shared" si="23"/>
        <v>-</v>
      </c>
      <c r="AH9" s="698" t="str">
        <f t="shared" si="23"/>
        <v>-</v>
      </c>
      <c r="AI9" s="695">
        <f t="shared" si="86"/>
        <v>2.5714285714285716</v>
      </c>
      <c r="AJ9" s="696">
        <f t="shared" si="87"/>
        <v>2.3571428571428572</v>
      </c>
      <c r="AK9" s="696">
        <f t="shared" si="88"/>
        <v>2.1428571428571432</v>
      </c>
      <c r="AL9" s="696">
        <f t="shared" si="89"/>
        <v>1.9285714285714288</v>
      </c>
      <c r="AM9" s="696">
        <f t="shared" si="90"/>
        <v>1.7142857142857142</v>
      </c>
      <c r="AN9" s="696">
        <f t="shared" si="91"/>
        <v>1.5000000000000002</v>
      </c>
      <c r="AO9" s="696">
        <f t="shared" si="92"/>
        <v>1.2857142857142858</v>
      </c>
      <c r="AP9" s="696">
        <f t="shared" si="93"/>
        <v>1.0714285714285716</v>
      </c>
      <c r="AQ9" s="697" t="str">
        <f t="shared" si="94"/>
        <v>-</v>
      </c>
      <c r="AR9" s="697" t="str">
        <f t="shared" si="95"/>
        <v>-</v>
      </c>
      <c r="AS9" s="696" t="str">
        <f t="shared" si="96"/>
        <v>-</v>
      </c>
      <c r="AT9" s="696" t="str">
        <f t="shared" si="97"/>
        <v>-</v>
      </c>
      <c r="AU9" s="696" t="str">
        <f t="shared" si="98"/>
        <v>-</v>
      </c>
      <c r="AV9" s="696" t="str">
        <f t="shared" si="99"/>
        <v>-</v>
      </c>
      <c r="AW9" s="696" t="str">
        <f t="shared" si="100"/>
        <v>-</v>
      </c>
      <c r="AX9" s="696" t="str">
        <f t="shared" si="101"/>
        <v>-</v>
      </c>
      <c r="AY9" s="696" t="str">
        <f t="shared" si="102"/>
        <v>-</v>
      </c>
      <c r="AZ9" s="697" t="str">
        <f t="shared" si="103"/>
        <v>-</v>
      </c>
      <c r="BA9" s="697" t="str">
        <f t="shared" si="104"/>
        <v>-</v>
      </c>
      <c r="BB9" s="697" t="str">
        <f t="shared" si="105"/>
        <v>-</v>
      </c>
      <c r="BC9" s="699" t="str">
        <f t="shared" si="106"/>
        <v>-</v>
      </c>
      <c r="BD9">
        <f t="shared" si="41"/>
        <v>18</v>
      </c>
      <c r="BE9">
        <f t="shared" si="41"/>
        <v>16.5</v>
      </c>
      <c r="BF9">
        <f t="shared" si="41"/>
        <v>15</v>
      </c>
      <c r="BG9">
        <f t="shared" si="41"/>
        <v>13.5</v>
      </c>
      <c r="BH9">
        <f t="shared" si="41"/>
        <v>12</v>
      </c>
      <c r="BI9">
        <f t="shared" si="41"/>
        <v>10.5</v>
      </c>
      <c r="BJ9">
        <f t="shared" si="41"/>
        <v>9</v>
      </c>
      <c r="BK9">
        <f t="shared" si="41"/>
        <v>7.5</v>
      </c>
      <c r="BL9">
        <f t="shared" si="41"/>
        <v>6</v>
      </c>
      <c r="BM9">
        <f t="shared" si="41"/>
        <v>4.5</v>
      </c>
      <c r="BN9">
        <f t="shared" si="41"/>
        <v>3</v>
      </c>
      <c r="BO9">
        <f t="shared" si="41"/>
        <v>1.5</v>
      </c>
      <c r="BP9">
        <f t="shared" si="42"/>
        <v>3.6</v>
      </c>
      <c r="BQ9">
        <f t="shared" si="43"/>
        <v>3.3</v>
      </c>
      <c r="BR9">
        <f t="shared" si="44"/>
        <v>3</v>
      </c>
      <c r="BS9">
        <f t="shared" si="45"/>
        <v>2.7</v>
      </c>
      <c r="BT9">
        <f t="shared" si="46"/>
        <v>2.4</v>
      </c>
      <c r="BU9">
        <f t="shared" si="47"/>
        <v>2.1</v>
      </c>
      <c r="BV9">
        <f t="shared" si="48"/>
        <v>1.8</v>
      </c>
      <c r="BW9">
        <f t="shared" si="49"/>
        <v>1.5</v>
      </c>
      <c r="BX9">
        <f t="shared" si="50"/>
        <v>1.2</v>
      </c>
      <c r="BY9">
        <f t="shared" si="51"/>
        <v>0.9</v>
      </c>
      <c r="BZ9">
        <f t="shared" si="52"/>
        <v>0.6</v>
      </c>
      <c r="CA9">
        <f t="shared" si="53"/>
        <v>0.3</v>
      </c>
    </row>
    <row r="10" spans="1:79" x14ac:dyDescent="0.25">
      <c r="A10" s="834"/>
      <c r="B10" s="689" t="s">
        <v>11</v>
      </c>
      <c r="C10" s="690">
        <v>6</v>
      </c>
      <c r="D10" s="691">
        <v>5</v>
      </c>
      <c r="E10" s="692">
        <v>24</v>
      </c>
      <c r="F10" s="692">
        <v>470</v>
      </c>
      <c r="G10" s="692">
        <v>24</v>
      </c>
      <c r="H10" s="692">
        <v>1200</v>
      </c>
      <c r="I10" s="689">
        <v>3</v>
      </c>
      <c r="J10" s="689">
        <v>1.4</v>
      </c>
      <c r="K10" s="690"/>
      <c r="L10" s="693">
        <f t="shared" si="20"/>
        <v>17.142857142857142</v>
      </c>
      <c r="M10" s="694">
        <f t="shared" si="21"/>
        <v>3.4285714285714284</v>
      </c>
      <c r="N10" s="695">
        <f t="shared" si="22"/>
        <v>17.142857142857142</v>
      </c>
      <c r="O10" s="696">
        <f t="shared" si="22"/>
        <v>16.071428571428573</v>
      </c>
      <c r="P10" s="696">
        <f t="shared" si="22"/>
        <v>15.000000000000002</v>
      </c>
      <c r="Q10" s="696">
        <f t="shared" si="22"/>
        <v>13.928571428571429</v>
      </c>
      <c r="R10" s="696">
        <f t="shared" si="22"/>
        <v>12.857142857142858</v>
      </c>
      <c r="S10" s="696">
        <f t="shared" si="22"/>
        <v>11.785714285714286</v>
      </c>
      <c r="T10" s="696">
        <f t="shared" si="22"/>
        <v>10.714285714285715</v>
      </c>
      <c r="U10" s="696">
        <f t="shared" si="22"/>
        <v>9.6428571428571441</v>
      </c>
      <c r="V10" s="696">
        <f t="shared" si="22"/>
        <v>8.5714285714285712</v>
      </c>
      <c r="W10" s="696">
        <f t="shared" si="22"/>
        <v>7.5000000000000009</v>
      </c>
      <c r="X10" s="697" t="str">
        <f t="shared" si="23"/>
        <v>-</v>
      </c>
      <c r="Y10" s="698" t="str">
        <f t="shared" si="23"/>
        <v>-</v>
      </c>
      <c r="Z10" s="696" t="str">
        <f t="shared" si="23"/>
        <v>-</v>
      </c>
      <c r="AA10" s="696" t="str">
        <f t="shared" si="23"/>
        <v>-</v>
      </c>
      <c r="AB10" s="696" t="str">
        <f t="shared" si="23"/>
        <v>-</v>
      </c>
      <c r="AC10" s="696" t="str">
        <f t="shared" si="23"/>
        <v>-</v>
      </c>
      <c r="AD10" s="696" t="str">
        <f t="shared" si="23"/>
        <v>-</v>
      </c>
      <c r="AE10" s="696" t="str">
        <f t="shared" si="23"/>
        <v>-</v>
      </c>
      <c r="AF10" s="696" t="str">
        <f t="shared" si="23"/>
        <v>-</v>
      </c>
      <c r="AG10" s="696" t="str">
        <f t="shared" si="23"/>
        <v>-</v>
      </c>
      <c r="AH10" s="711" t="str">
        <f t="shared" si="23"/>
        <v>-</v>
      </c>
      <c r="AI10" s="695">
        <f t="shared" ref="AI10" si="107">IF(N$2&lt;=$F10,N10/$D10,"-")</f>
        <v>3.4285714285714284</v>
      </c>
      <c r="AJ10" s="696">
        <f t="shared" ref="AJ10" si="108">IF(O$2&lt;=$F10,O10/$D10,"-")</f>
        <v>3.2142857142857144</v>
      </c>
      <c r="AK10" s="696">
        <f t="shared" ref="AK10" si="109">IF(P$2&lt;=$F10,P10/$D10,"-")</f>
        <v>3.0000000000000004</v>
      </c>
      <c r="AL10" s="696">
        <f t="shared" ref="AL10" si="110">IF(Q$2&lt;=$F10,Q10/$D10,"-")</f>
        <v>2.7857142857142856</v>
      </c>
      <c r="AM10" s="696">
        <f t="shared" ref="AM10" si="111">IF(R$2&lt;=$F10,R10/$D10,"-")</f>
        <v>2.5714285714285716</v>
      </c>
      <c r="AN10" s="696">
        <f t="shared" ref="AN10" si="112">IF(S$2&lt;=$F10,S10/$D10,"-")</f>
        <v>2.3571428571428572</v>
      </c>
      <c r="AO10" s="696">
        <f t="shared" ref="AO10" si="113">IF(T$2&lt;=$F10,T10/$D10,"-")</f>
        <v>2.1428571428571432</v>
      </c>
      <c r="AP10" s="696">
        <f t="shared" ref="AP10" si="114">IF(U$2&lt;=$F10,U10/$D10,"-")</f>
        <v>1.9285714285714288</v>
      </c>
      <c r="AQ10" s="696">
        <f t="shared" ref="AQ10" si="115">IF(V$2&lt;=$F10,V10/$D10,"-")</f>
        <v>1.7142857142857142</v>
      </c>
      <c r="AR10" s="696">
        <f t="shared" ref="AR10" si="116">IF(W$2&lt;=$F10,W10/$D10,"-")</f>
        <v>1.5000000000000002</v>
      </c>
      <c r="AS10" s="696" t="str">
        <f t="shared" ref="AS10" si="117">IF(X$2&lt;=$F10,X10/$D10,"-")</f>
        <v>-</v>
      </c>
      <c r="AT10" s="696" t="str">
        <f t="shared" ref="AT10" si="118">IF(Y$2&lt;=$F10,Y10/$D10,"-")</f>
        <v>-</v>
      </c>
      <c r="AU10" s="696" t="str">
        <f t="shared" ref="AU10" si="119">IF(Z$2&lt;=$F10,Z10/$D10,"-")</f>
        <v>-</v>
      </c>
      <c r="AV10" s="696" t="str">
        <f t="shared" ref="AV10" si="120">IF(AA$2&lt;=$F10,AA10/$D10,"-")</f>
        <v>-</v>
      </c>
      <c r="AW10" s="696" t="str">
        <f t="shared" ref="AW10" si="121">IF(AB$2&lt;=$F10,AB10/$D10,"-")</f>
        <v>-</v>
      </c>
      <c r="AX10" s="696" t="str">
        <f t="shared" ref="AX10" si="122">IF(AC$2&lt;=$F10,AC10/$D10,"-")</f>
        <v>-</v>
      </c>
      <c r="AY10" s="696" t="str">
        <f t="shared" ref="AY10" si="123">IF(AD$2&lt;=$F10,AD10/$D10,"-")</f>
        <v>-</v>
      </c>
      <c r="AZ10" s="696" t="str">
        <f t="shared" ref="AZ10" si="124">IF(AE$2&lt;=$F10,AE10/$D10,"-")</f>
        <v>-</v>
      </c>
      <c r="BA10" s="696" t="str">
        <f t="shared" ref="BA10" si="125">IF(AF$2&lt;=$F10,AF10/$D10,"-")</f>
        <v>-</v>
      </c>
      <c r="BB10" s="697" t="str">
        <f t="shared" ref="BB10" si="126">IF(AG$2&lt;=$F10,AG10/$D10,"-")</f>
        <v>-</v>
      </c>
      <c r="BC10" s="699" t="str">
        <f t="shared" ref="BC10" si="127">IF(AH$2&lt;=$F10,AH10/$D10,"-")</f>
        <v>-</v>
      </c>
      <c r="BD10">
        <f t="shared" si="41"/>
        <v>24</v>
      </c>
      <c r="BE10">
        <f t="shared" si="41"/>
        <v>22.5</v>
      </c>
      <c r="BF10">
        <f t="shared" si="41"/>
        <v>21</v>
      </c>
      <c r="BG10">
        <f t="shared" si="41"/>
        <v>19.5</v>
      </c>
      <c r="BH10">
        <f t="shared" si="41"/>
        <v>18</v>
      </c>
      <c r="BI10">
        <f t="shared" si="41"/>
        <v>16.5</v>
      </c>
      <c r="BJ10">
        <f t="shared" si="41"/>
        <v>15</v>
      </c>
      <c r="BK10">
        <f t="shared" si="41"/>
        <v>13.5</v>
      </c>
      <c r="BL10">
        <f t="shared" si="41"/>
        <v>12</v>
      </c>
      <c r="BM10">
        <f t="shared" si="41"/>
        <v>10.5</v>
      </c>
      <c r="BN10">
        <f t="shared" si="41"/>
        <v>9</v>
      </c>
      <c r="BO10">
        <f t="shared" si="41"/>
        <v>7.5</v>
      </c>
      <c r="BP10">
        <f t="shared" ref="BP10" si="128">BD10/$D10</f>
        <v>4.8</v>
      </c>
      <c r="BQ10">
        <f t="shared" ref="BQ10" si="129">BE10/$D10</f>
        <v>4.5</v>
      </c>
      <c r="BR10">
        <f t="shared" ref="BR10" si="130">BF10/$D10</f>
        <v>4.2</v>
      </c>
      <c r="BS10">
        <f t="shared" ref="BS10" si="131">BG10/$D10</f>
        <v>3.9</v>
      </c>
      <c r="BT10">
        <f t="shared" ref="BT10" si="132">BH10/$D10</f>
        <v>3.6</v>
      </c>
      <c r="BU10">
        <f t="shared" ref="BU10" si="133">BI10/$D10</f>
        <v>3.3</v>
      </c>
      <c r="BV10">
        <f t="shared" ref="BV10" si="134">BJ10/$D10</f>
        <v>3</v>
      </c>
      <c r="BW10">
        <f t="shared" ref="BW10" si="135">BK10/$D10</f>
        <v>2.7</v>
      </c>
      <c r="BX10">
        <f t="shared" ref="BX10" si="136">BL10/$D10</f>
        <v>2.4</v>
      </c>
      <c r="BY10">
        <f t="shared" ref="BY10" si="137">BM10/$D10</f>
        <v>2.1</v>
      </c>
      <c r="BZ10">
        <f t="shared" ref="BZ10" si="138">BN10/$D10</f>
        <v>1.8</v>
      </c>
      <c r="CA10">
        <f t="shared" ref="CA10" si="139">BO10/$D10</f>
        <v>1.5</v>
      </c>
    </row>
    <row r="11" spans="1:79" ht="15.75" thickBot="1" x14ac:dyDescent="0.3">
      <c r="A11" s="819"/>
      <c r="B11" s="679" t="s">
        <v>23</v>
      </c>
      <c r="C11" s="712">
        <v>7</v>
      </c>
      <c r="D11" s="713">
        <v>5</v>
      </c>
      <c r="E11" s="714">
        <v>30</v>
      </c>
      <c r="F11" s="714">
        <v>580</v>
      </c>
      <c r="G11" s="714">
        <v>24</v>
      </c>
      <c r="H11" s="714">
        <v>1200</v>
      </c>
      <c r="I11" s="715">
        <v>3</v>
      </c>
      <c r="J11" s="715">
        <v>1.4</v>
      </c>
      <c r="K11" s="716"/>
      <c r="L11" s="680">
        <f t="shared" si="20"/>
        <v>17.142857142857142</v>
      </c>
      <c r="M11" s="681">
        <f t="shared" si="21"/>
        <v>3.4285714285714284</v>
      </c>
      <c r="N11" s="682">
        <f t="shared" si="22"/>
        <v>21.428571428571431</v>
      </c>
      <c r="O11" s="683">
        <f t="shared" si="22"/>
        <v>20.357142857142858</v>
      </c>
      <c r="P11" s="683">
        <f t="shared" si="22"/>
        <v>19.285714285714288</v>
      </c>
      <c r="Q11" s="683">
        <f t="shared" si="22"/>
        <v>18.214285714285715</v>
      </c>
      <c r="R11" s="683">
        <f t="shared" si="22"/>
        <v>17.142857142857142</v>
      </c>
      <c r="S11" s="683">
        <f t="shared" si="22"/>
        <v>16.071428571428573</v>
      </c>
      <c r="T11" s="683">
        <f t="shared" si="22"/>
        <v>15.000000000000002</v>
      </c>
      <c r="U11" s="683">
        <f t="shared" si="22"/>
        <v>13.928571428571429</v>
      </c>
      <c r="V11" s="683">
        <f t="shared" si="22"/>
        <v>12.857142857142858</v>
      </c>
      <c r="W11" s="683">
        <f t="shared" si="22"/>
        <v>11.785714285714286</v>
      </c>
      <c r="X11" s="686">
        <f t="shared" si="23"/>
        <v>10.714285714285715</v>
      </c>
      <c r="Y11" s="717">
        <f t="shared" si="23"/>
        <v>9.6428571428571441</v>
      </c>
      <c r="Z11" s="683" t="str">
        <f t="shared" si="23"/>
        <v>-</v>
      </c>
      <c r="AA11" s="683" t="str">
        <f t="shared" si="23"/>
        <v>-</v>
      </c>
      <c r="AB11" s="683" t="str">
        <f t="shared" si="23"/>
        <v>-</v>
      </c>
      <c r="AC11" s="683" t="str">
        <f t="shared" si="23"/>
        <v>-</v>
      </c>
      <c r="AD11" s="683" t="str">
        <f t="shared" si="23"/>
        <v>-</v>
      </c>
      <c r="AE11" s="683" t="str">
        <f t="shared" si="23"/>
        <v>-</v>
      </c>
      <c r="AF11" s="683" t="str">
        <f t="shared" si="23"/>
        <v>-</v>
      </c>
      <c r="AG11" s="683" t="str">
        <f t="shared" si="23"/>
        <v>-</v>
      </c>
      <c r="AH11" s="684" t="str">
        <f t="shared" si="23"/>
        <v>-</v>
      </c>
      <c r="AI11" s="682">
        <f t="shared" si="86"/>
        <v>4.2857142857142865</v>
      </c>
      <c r="AJ11" s="683">
        <f t="shared" si="87"/>
        <v>4.0714285714285712</v>
      </c>
      <c r="AK11" s="683">
        <f t="shared" si="88"/>
        <v>3.8571428571428577</v>
      </c>
      <c r="AL11" s="683">
        <f t="shared" si="89"/>
        <v>3.6428571428571432</v>
      </c>
      <c r="AM11" s="683">
        <f t="shared" si="90"/>
        <v>3.4285714285714284</v>
      </c>
      <c r="AN11" s="683">
        <f t="shared" si="91"/>
        <v>3.2142857142857144</v>
      </c>
      <c r="AO11" s="683">
        <f t="shared" si="92"/>
        <v>3.0000000000000004</v>
      </c>
      <c r="AP11" s="683">
        <f t="shared" si="93"/>
        <v>2.7857142857142856</v>
      </c>
      <c r="AQ11" s="683">
        <f t="shared" si="94"/>
        <v>2.5714285714285716</v>
      </c>
      <c r="AR11" s="683">
        <f t="shared" si="95"/>
        <v>2.3571428571428572</v>
      </c>
      <c r="AS11" s="683">
        <f t="shared" si="96"/>
        <v>2.1428571428571432</v>
      </c>
      <c r="AT11" s="683">
        <f t="shared" si="97"/>
        <v>1.9285714285714288</v>
      </c>
      <c r="AU11" s="683" t="str">
        <f t="shared" si="98"/>
        <v>-</v>
      </c>
      <c r="AV11" s="683" t="str">
        <f t="shared" si="99"/>
        <v>-</v>
      </c>
      <c r="AW11" s="683" t="str">
        <f t="shared" si="100"/>
        <v>-</v>
      </c>
      <c r="AX11" s="683" t="str">
        <f t="shared" si="101"/>
        <v>-</v>
      </c>
      <c r="AY11" s="683" t="str">
        <f t="shared" si="102"/>
        <v>-</v>
      </c>
      <c r="AZ11" s="683" t="str">
        <f t="shared" si="103"/>
        <v>-</v>
      </c>
      <c r="BA11" s="683" t="str">
        <f t="shared" si="104"/>
        <v>-</v>
      </c>
      <c r="BB11" s="686" t="str">
        <f t="shared" si="105"/>
        <v>-</v>
      </c>
      <c r="BC11" s="687" t="str">
        <f t="shared" si="106"/>
        <v>-</v>
      </c>
      <c r="BD11">
        <f t="shared" si="41"/>
        <v>30</v>
      </c>
      <c r="BE11">
        <f t="shared" si="41"/>
        <v>28.5</v>
      </c>
      <c r="BF11">
        <f t="shared" si="41"/>
        <v>27</v>
      </c>
      <c r="BG11">
        <f t="shared" si="41"/>
        <v>25.5</v>
      </c>
      <c r="BH11">
        <f t="shared" si="41"/>
        <v>24</v>
      </c>
      <c r="BI11">
        <f t="shared" si="41"/>
        <v>22.5</v>
      </c>
      <c r="BJ11">
        <f t="shared" si="41"/>
        <v>21</v>
      </c>
      <c r="BK11">
        <f t="shared" si="41"/>
        <v>19.5</v>
      </c>
      <c r="BL11">
        <f t="shared" si="41"/>
        <v>18</v>
      </c>
      <c r="BM11">
        <f t="shared" si="41"/>
        <v>16.5</v>
      </c>
      <c r="BN11">
        <f t="shared" si="41"/>
        <v>15</v>
      </c>
      <c r="BO11">
        <f t="shared" si="41"/>
        <v>13.5</v>
      </c>
      <c r="BP11">
        <f t="shared" si="42"/>
        <v>6</v>
      </c>
      <c r="BQ11">
        <f t="shared" si="43"/>
        <v>5.7</v>
      </c>
      <c r="BR11">
        <f t="shared" si="44"/>
        <v>5.4</v>
      </c>
      <c r="BS11">
        <f t="shared" si="45"/>
        <v>5.0999999999999996</v>
      </c>
      <c r="BT11">
        <f t="shared" si="46"/>
        <v>4.8</v>
      </c>
      <c r="BU11">
        <f t="shared" si="47"/>
        <v>4.5</v>
      </c>
      <c r="BV11">
        <f t="shared" si="48"/>
        <v>4.2</v>
      </c>
      <c r="BW11">
        <f t="shared" si="49"/>
        <v>3.9</v>
      </c>
      <c r="BX11">
        <f t="shared" si="50"/>
        <v>3.6</v>
      </c>
      <c r="BY11">
        <f t="shared" si="51"/>
        <v>3.3</v>
      </c>
      <c r="BZ11">
        <f t="shared" si="52"/>
        <v>3</v>
      </c>
      <c r="CA11">
        <f t="shared" si="53"/>
        <v>2.7</v>
      </c>
    </row>
    <row r="12" spans="1:79" x14ac:dyDescent="0.25">
      <c r="A12" s="817" t="s">
        <v>13</v>
      </c>
      <c r="B12" s="666" t="s">
        <v>9</v>
      </c>
      <c r="C12" s="663">
        <v>4</v>
      </c>
      <c r="D12" s="664">
        <v>4</v>
      </c>
      <c r="E12" s="665">
        <v>7</v>
      </c>
      <c r="F12" s="665">
        <v>320</v>
      </c>
      <c r="G12" s="665">
        <v>20</v>
      </c>
      <c r="H12" s="665">
        <v>1200</v>
      </c>
      <c r="I12" s="666">
        <v>1</v>
      </c>
      <c r="J12" s="666">
        <v>1.5</v>
      </c>
      <c r="K12" s="663"/>
      <c r="L12" s="667">
        <f t="shared" si="20"/>
        <v>13.333333333333334</v>
      </c>
      <c r="M12" s="668">
        <f t="shared" si="21"/>
        <v>3.3333333333333335</v>
      </c>
      <c r="N12" s="669">
        <f t="shared" ref="N12:W18" si="140">IF(AND(N$2&lt;=$F12,($E12-$I12*N$2/100)/$J12&gt;0),($E12-$I12*N$2/100)/$J12,"-")</f>
        <v>4.666666666666667</v>
      </c>
      <c r="O12" s="670">
        <f t="shared" si="140"/>
        <v>4.333333333333333</v>
      </c>
      <c r="P12" s="670">
        <f t="shared" si="140"/>
        <v>4</v>
      </c>
      <c r="Q12" s="670">
        <f t="shared" si="140"/>
        <v>3.6666666666666665</v>
      </c>
      <c r="R12" s="670">
        <f t="shared" si="140"/>
        <v>3.3333333333333335</v>
      </c>
      <c r="S12" s="670">
        <f t="shared" si="140"/>
        <v>3</v>
      </c>
      <c r="T12" s="670">
        <f t="shared" si="140"/>
        <v>2.6666666666666665</v>
      </c>
      <c r="U12" s="673" t="str">
        <f t="shared" si="140"/>
        <v>-</v>
      </c>
      <c r="V12" s="673" t="str">
        <f t="shared" si="140"/>
        <v>-</v>
      </c>
      <c r="W12" s="673" t="str">
        <f t="shared" si="140"/>
        <v>-</v>
      </c>
      <c r="X12" s="673" t="str">
        <f t="shared" ref="X12:AH18" si="141">IF(AND(X$2&lt;=$F12,($E12-$I12*X$2/100)/$J12&gt;0),($E12-$I12*X$2/100)/$J12,"-")</f>
        <v>-</v>
      </c>
      <c r="Y12" s="688" t="str">
        <f t="shared" si="141"/>
        <v>-</v>
      </c>
      <c r="Z12" s="670" t="str">
        <f t="shared" si="141"/>
        <v>-</v>
      </c>
      <c r="AA12" s="670" t="str">
        <f t="shared" si="141"/>
        <v>-</v>
      </c>
      <c r="AB12" s="670" t="str">
        <f t="shared" si="141"/>
        <v>-</v>
      </c>
      <c r="AC12" s="670" t="str">
        <f t="shared" si="141"/>
        <v>-</v>
      </c>
      <c r="AD12" s="670" t="str">
        <f t="shared" si="141"/>
        <v>-</v>
      </c>
      <c r="AE12" s="670" t="str">
        <f t="shared" si="141"/>
        <v>-</v>
      </c>
      <c r="AF12" s="670" t="str">
        <f t="shared" si="141"/>
        <v>-</v>
      </c>
      <c r="AG12" s="673" t="str">
        <f t="shared" si="141"/>
        <v>-</v>
      </c>
      <c r="AH12" s="688" t="str">
        <f t="shared" si="141"/>
        <v>-</v>
      </c>
      <c r="AI12" s="669">
        <f t="shared" si="86"/>
        <v>1.1666666666666667</v>
      </c>
      <c r="AJ12" s="670">
        <f t="shared" si="87"/>
        <v>1.0833333333333333</v>
      </c>
      <c r="AK12" s="670">
        <f t="shared" si="88"/>
        <v>1</v>
      </c>
      <c r="AL12" s="670">
        <f t="shared" si="89"/>
        <v>0.91666666666666663</v>
      </c>
      <c r="AM12" s="670">
        <f t="shared" si="90"/>
        <v>0.83333333333333337</v>
      </c>
      <c r="AN12" s="670">
        <f t="shared" si="91"/>
        <v>0.75</v>
      </c>
      <c r="AO12" s="670">
        <f t="shared" si="92"/>
        <v>0.66666666666666663</v>
      </c>
      <c r="AP12" s="673" t="str">
        <f t="shared" si="93"/>
        <v>-</v>
      </c>
      <c r="AQ12" s="673" t="str">
        <f t="shared" si="94"/>
        <v>-</v>
      </c>
      <c r="AR12" s="673" t="str">
        <f t="shared" si="95"/>
        <v>-</v>
      </c>
      <c r="AS12" s="670" t="str">
        <f t="shared" si="96"/>
        <v>-</v>
      </c>
      <c r="AT12" s="670" t="str">
        <f t="shared" si="97"/>
        <v>-</v>
      </c>
      <c r="AU12" s="670" t="str">
        <f t="shared" si="98"/>
        <v>-</v>
      </c>
      <c r="AV12" s="670" t="str">
        <f t="shared" si="99"/>
        <v>-</v>
      </c>
      <c r="AW12" s="670" t="str">
        <f t="shared" si="100"/>
        <v>-</v>
      </c>
      <c r="AX12" s="670" t="str">
        <f t="shared" si="101"/>
        <v>-</v>
      </c>
      <c r="AY12" s="673" t="str">
        <f t="shared" si="102"/>
        <v>-</v>
      </c>
      <c r="AZ12" s="673" t="str">
        <f t="shared" si="103"/>
        <v>-</v>
      </c>
      <c r="BA12" s="673" t="str">
        <f t="shared" si="104"/>
        <v>-</v>
      </c>
      <c r="BB12" s="673" t="str">
        <f t="shared" si="105"/>
        <v>-</v>
      </c>
      <c r="BC12" s="674" t="str">
        <f t="shared" si="106"/>
        <v>-</v>
      </c>
      <c r="BD12">
        <f t="shared" ref="BD12:BO18" si="142">$E12-$I12*BD$2/100</f>
        <v>7</v>
      </c>
      <c r="BE12">
        <f t="shared" si="142"/>
        <v>6.5</v>
      </c>
      <c r="BF12">
        <f t="shared" si="142"/>
        <v>6</v>
      </c>
      <c r="BG12">
        <f t="shared" si="142"/>
        <v>5.5</v>
      </c>
      <c r="BH12">
        <f t="shared" si="142"/>
        <v>5</v>
      </c>
      <c r="BI12">
        <f t="shared" si="142"/>
        <v>4.5</v>
      </c>
      <c r="BJ12">
        <f t="shared" si="142"/>
        <v>4</v>
      </c>
      <c r="BK12">
        <f t="shared" si="142"/>
        <v>3.5</v>
      </c>
      <c r="BL12">
        <f t="shared" si="142"/>
        <v>3</v>
      </c>
      <c r="BM12">
        <f t="shared" si="142"/>
        <v>2.5</v>
      </c>
      <c r="BN12">
        <f t="shared" si="142"/>
        <v>2</v>
      </c>
      <c r="BO12">
        <f t="shared" si="142"/>
        <v>1.5</v>
      </c>
      <c r="BP12">
        <f t="shared" si="42"/>
        <v>1.75</v>
      </c>
      <c r="BQ12">
        <f t="shared" si="43"/>
        <v>1.625</v>
      </c>
      <c r="BR12">
        <f t="shared" si="44"/>
        <v>1.5</v>
      </c>
      <c r="BS12">
        <f t="shared" si="45"/>
        <v>1.375</v>
      </c>
      <c r="BT12">
        <f t="shared" si="46"/>
        <v>1.25</v>
      </c>
      <c r="BU12">
        <f t="shared" si="47"/>
        <v>1.125</v>
      </c>
      <c r="BV12">
        <f t="shared" si="48"/>
        <v>1</v>
      </c>
      <c r="BW12">
        <f t="shared" si="49"/>
        <v>0.875</v>
      </c>
      <c r="BX12">
        <f t="shared" si="50"/>
        <v>0.75</v>
      </c>
      <c r="BY12">
        <f t="shared" si="51"/>
        <v>0.625</v>
      </c>
      <c r="BZ12">
        <f t="shared" si="52"/>
        <v>0.5</v>
      </c>
      <c r="CA12">
        <f t="shared" si="53"/>
        <v>0.375</v>
      </c>
    </row>
    <row r="13" spans="1:79" x14ac:dyDescent="0.25">
      <c r="A13" s="818"/>
      <c r="B13" s="689" t="s">
        <v>10</v>
      </c>
      <c r="C13" s="690">
        <v>5</v>
      </c>
      <c r="D13" s="691">
        <v>4</v>
      </c>
      <c r="E13" s="692">
        <v>9</v>
      </c>
      <c r="F13" s="692">
        <v>390</v>
      </c>
      <c r="G13" s="692">
        <v>20</v>
      </c>
      <c r="H13" s="692">
        <v>1200</v>
      </c>
      <c r="I13" s="689">
        <v>1</v>
      </c>
      <c r="J13" s="689">
        <v>1.5</v>
      </c>
      <c r="K13" s="690"/>
      <c r="L13" s="693">
        <f t="shared" si="20"/>
        <v>13.333333333333334</v>
      </c>
      <c r="M13" s="694">
        <f t="shared" si="21"/>
        <v>3.3333333333333335</v>
      </c>
      <c r="N13" s="695">
        <f t="shared" si="140"/>
        <v>6</v>
      </c>
      <c r="O13" s="696">
        <f t="shared" si="140"/>
        <v>5.666666666666667</v>
      </c>
      <c r="P13" s="696">
        <f t="shared" si="140"/>
        <v>5.333333333333333</v>
      </c>
      <c r="Q13" s="696">
        <f t="shared" si="140"/>
        <v>5</v>
      </c>
      <c r="R13" s="696">
        <f t="shared" si="140"/>
        <v>4.666666666666667</v>
      </c>
      <c r="S13" s="696">
        <f t="shared" si="140"/>
        <v>4.333333333333333</v>
      </c>
      <c r="T13" s="696">
        <f t="shared" si="140"/>
        <v>4</v>
      </c>
      <c r="U13" s="696">
        <f t="shared" si="140"/>
        <v>3.6666666666666665</v>
      </c>
      <c r="V13" s="697" t="str">
        <f t="shared" si="140"/>
        <v>-</v>
      </c>
      <c r="W13" s="697" t="str">
        <f t="shared" si="140"/>
        <v>-</v>
      </c>
      <c r="X13" s="697" t="str">
        <f t="shared" si="141"/>
        <v>-</v>
      </c>
      <c r="Y13" s="698" t="str">
        <f t="shared" si="141"/>
        <v>-</v>
      </c>
      <c r="Z13" s="696" t="str">
        <f t="shared" si="141"/>
        <v>-</v>
      </c>
      <c r="AA13" s="696" t="str">
        <f t="shared" si="141"/>
        <v>-</v>
      </c>
      <c r="AB13" s="696" t="str">
        <f t="shared" si="141"/>
        <v>-</v>
      </c>
      <c r="AC13" s="696" t="str">
        <f t="shared" si="141"/>
        <v>-</v>
      </c>
      <c r="AD13" s="696" t="str">
        <f t="shared" si="141"/>
        <v>-</v>
      </c>
      <c r="AE13" s="696" t="str">
        <f t="shared" si="141"/>
        <v>-</v>
      </c>
      <c r="AF13" s="696" t="str">
        <f t="shared" si="141"/>
        <v>-</v>
      </c>
      <c r="AG13" s="696" t="str">
        <f t="shared" si="141"/>
        <v>-</v>
      </c>
      <c r="AH13" s="698" t="str">
        <f t="shared" si="141"/>
        <v>-</v>
      </c>
      <c r="AI13" s="695">
        <f t="shared" si="86"/>
        <v>1.5</v>
      </c>
      <c r="AJ13" s="696">
        <f t="shared" si="87"/>
        <v>1.4166666666666667</v>
      </c>
      <c r="AK13" s="696">
        <f t="shared" si="88"/>
        <v>1.3333333333333333</v>
      </c>
      <c r="AL13" s="696">
        <f t="shared" si="89"/>
        <v>1.25</v>
      </c>
      <c r="AM13" s="696">
        <f t="shared" si="90"/>
        <v>1.1666666666666667</v>
      </c>
      <c r="AN13" s="696">
        <f t="shared" si="91"/>
        <v>1.0833333333333333</v>
      </c>
      <c r="AO13" s="696">
        <f t="shared" si="92"/>
        <v>1</v>
      </c>
      <c r="AP13" s="696">
        <f t="shared" si="93"/>
        <v>0.91666666666666663</v>
      </c>
      <c r="AQ13" s="697" t="str">
        <f t="shared" si="94"/>
        <v>-</v>
      </c>
      <c r="AR13" s="697" t="str">
        <f t="shared" si="95"/>
        <v>-</v>
      </c>
      <c r="AS13" s="696" t="str">
        <f t="shared" si="96"/>
        <v>-</v>
      </c>
      <c r="AT13" s="696" t="str">
        <f t="shared" si="97"/>
        <v>-</v>
      </c>
      <c r="AU13" s="696" t="str">
        <f t="shared" si="98"/>
        <v>-</v>
      </c>
      <c r="AV13" s="696" t="str">
        <f t="shared" si="99"/>
        <v>-</v>
      </c>
      <c r="AW13" s="696" t="str">
        <f t="shared" si="100"/>
        <v>-</v>
      </c>
      <c r="AX13" s="696" t="str">
        <f t="shared" si="101"/>
        <v>-</v>
      </c>
      <c r="AY13" s="696" t="str">
        <f t="shared" si="102"/>
        <v>-</v>
      </c>
      <c r="AZ13" s="697" t="str">
        <f t="shared" si="103"/>
        <v>-</v>
      </c>
      <c r="BA13" s="697" t="str">
        <f t="shared" si="104"/>
        <v>-</v>
      </c>
      <c r="BB13" s="697" t="str">
        <f t="shared" si="105"/>
        <v>-</v>
      </c>
      <c r="BC13" s="699" t="str">
        <f t="shared" si="106"/>
        <v>-</v>
      </c>
      <c r="BD13">
        <f t="shared" si="142"/>
        <v>9</v>
      </c>
      <c r="BE13">
        <f t="shared" si="142"/>
        <v>8.5</v>
      </c>
      <c r="BF13">
        <f t="shared" si="142"/>
        <v>8</v>
      </c>
      <c r="BG13">
        <f t="shared" si="142"/>
        <v>7.5</v>
      </c>
      <c r="BH13">
        <f t="shared" si="142"/>
        <v>7</v>
      </c>
      <c r="BI13">
        <f t="shared" si="142"/>
        <v>6.5</v>
      </c>
      <c r="BJ13">
        <f t="shared" si="142"/>
        <v>6</v>
      </c>
      <c r="BK13">
        <f t="shared" si="142"/>
        <v>5.5</v>
      </c>
      <c r="BL13">
        <f t="shared" si="142"/>
        <v>5</v>
      </c>
      <c r="BM13">
        <f t="shared" si="142"/>
        <v>4.5</v>
      </c>
      <c r="BN13">
        <f t="shared" si="142"/>
        <v>4</v>
      </c>
      <c r="BO13">
        <f t="shared" si="142"/>
        <v>3.5</v>
      </c>
      <c r="BP13">
        <f t="shared" si="42"/>
        <v>2.25</v>
      </c>
      <c r="BQ13">
        <f t="shared" si="43"/>
        <v>2.125</v>
      </c>
      <c r="BR13">
        <f t="shared" si="44"/>
        <v>2</v>
      </c>
      <c r="BS13">
        <f t="shared" si="45"/>
        <v>1.875</v>
      </c>
      <c r="BT13">
        <f t="shared" si="46"/>
        <v>1.75</v>
      </c>
      <c r="BU13">
        <f t="shared" si="47"/>
        <v>1.625</v>
      </c>
      <c r="BV13">
        <f t="shared" si="48"/>
        <v>1.5</v>
      </c>
      <c r="BW13">
        <f t="shared" si="49"/>
        <v>1.375</v>
      </c>
      <c r="BX13">
        <f t="shared" si="50"/>
        <v>1.25</v>
      </c>
      <c r="BY13">
        <f t="shared" si="51"/>
        <v>1.125</v>
      </c>
      <c r="BZ13">
        <f t="shared" si="52"/>
        <v>1</v>
      </c>
      <c r="CA13">
        <f t="shared" si="53"/>
        <v>0.875</v>
      </c>
    </row>
    <row r="14" spans="1:79" ht="15.75" thickBot="1" x14ac:dyDescent="0.3">
      <c r="A14" s="819"/>
      <c r="B14" s="700" t="s">
        <v>11</v>
      </c>
      <c r="C14" s="701">
        <v>7</v>
      </c>
      <c r="D14" s="702">
        <v>4</v>
      </c>
      <c r="E14" s="703">
        <v>12</v>
      </c>
      <c r="F14" s="703">
        <v>480</v>
      </c>
      <c r="G14" s="703">
        <v>20</v>
      </c>
      <c r="H14" s="703">
        <v>1200</v>
      </c>
      <c r="I14" s="700">
        <v>1</v>
      </c>
      <c r="J14" s="700">
        <v>1.5</v>
      </c>
      <c r="K14" s="701"/>
      <c r="L14" s="704">
        <f t="shared" si="20"/>
        <v>13.333333333333334</v>
      </c>
      <c r="M14" s="705">
        <f t="shared" si="21"/>
        <v>3.3333333333333335</v>
      </c>
      <c r="N14" s="706">
        <f t="shared" si="140"/>
        <v>8</v>
      </c>
      <c r="O14" s="707">
        <f t="shared" si="140"/>
        <v>7.666666666666667</v>
      </c>
      <c r="P14" s="707">
        <f t="shared" si="140"/>
        <v>7.333333333333333</v>
      </c>
      <c r="Q14" s="707">
        <f t="shared" si="140"/>
        <v>7</v>
      </c>
      <c r="R14" s="707">
        <f t="shared" si="140"/>
        <v>6.666666666666667</v>
      </c>
      <c r="S14" s="707">
        <f t="shared" si="140"/>
        <v>6.333333333333333</v>
      </c>
      <c r="T14" s="707">
        <f t="shared" si="140"/>
        <v>6</v>
      </c>
      <c r="U14" s="707">
        <f t="shared" si="140"/>
        <v>5.666666666666667</v>
      </c>
      <c r="V14" s="707">
        <f t="shared" si="140"/>
        <v>5.333333333333333</v>
      </c>
      <c r="W14" s="707">
        <f t="shared" si="140"/>
        <v>5</v>
      </c>
      <c r="X14" s="708" t="str">
        <f t="shared" si="141"/>
        <v>-</v>
      </c>
      <c r="Y14" s="709" t="str">
        <f t="shared" si="141"/>
        <v>-</v>
      </c>
      <c r="Z14" s="707" t="str">
        <f t="shared" si="141"/>
        <v>-</v>
      </c>
      <c r="AA14" s="707" t="str">
        <f t="shared" si="141"/>
        <v>-</v>
      </c>
      <c r="AB14" s="707" t="str">
        <f t="shared" si="141"/>
        <v>-</v>
      </c>
      <c r="AC14" s="707" t="str">
        <f t="shared" si="141"/>
        <v>-</v>
      </c>
      <c r="AD14" s="707" t="str">
        <f t="shared" si="141"/>
        <v>-</v>
      </c>
      <c r="AE14" s="707" t="str">
        <f t="shared" si="141"/>
        <v>-</v>
      </c>
      <c r="AF14" s="707" t="str">
        <f t="shared" si="141"/>
        <v>-</v>
      </c>
      <c r="AG14" s="707" t="str">
        <f t="shared" si="141"/>
        <v>-</v>
      </c>
      <c r="AH14" s="720" t="str">
        <f t="shared" si="141"/>
        <v>-</v>
      </c>
      <c r="AI14" s="706">
        <f t="shared" si="86"/>
        <v>2</v>
      </c>
      <c r="AJ14" s="707">
        <f t="shared" si="87"/>
        <v>1.9166666666666667</v>
      </c>
      <c r="AK14" s="707">
        <f t="shared" si="88"/>
        <v>1.8333333333333333</v>
      </c>
      <c r="AL14" s="707">
        <f t="shared" si="89"/>
        <v>1.75</v>
      </c>
      <c r="AM14" s="707">
        <f t="shared" si="90"/>
        <v>1.6666666666666667</v>
      </c>
      <c r="AN14" s="707">
        <f t="shared" si="91"/>
        <v>1.5833333333333333</v>
      </c>
      <c r="AO14" s="707">
        <f t="shared" si="92"/>
        <v>1.5</v>
      </c>
      <c r="AP14" s="707">
        <f t="shared" si="93"/>
        <v>1.4166666666666667</v>
      </c>
      <c r="AQ14" s="707">
        <f t="shared" si="94"/>
        <v>1.3333333333333333</v>
      </c>
      <c r="AR14" s="707">
        <f t="shared" si="95"/>
        <v>1.25</v>
      </c>
      <c r="AS14" s="707" t="str">
        <f t="shared" si="96"/>
        <v>-</v>
      </c>
      <c r="AT14" s="707" t="str">
        <f t="shared" si="97"/>
        <v>-</v>
      </c>
      <c r="AU14" s="707" t="str">
        <f t="shared" si="98"/>
        <v>-</v>
      </c>
      <c r="AV14" s="707" t="str">
        <f t="shared" si="99"/>
        <v>-</v>
      </c>
      <c r="AW14" s="707" t="str">
        <f t="shared" si="100"/>
        <v>-</v>
      </c>
      <c r="AX14" s="707" t="str">
        <f t="shared" si="101"/>
        <v>-</v>
      </c>
      <c r="AY14" s="707" t="str">
        <f t="shared" si="102"/>
        <v>-</v>
      </c>
      <c r="AZ14" s="707" t="str">
        <f t="shared" si="103"/>
        <v>-</v>
      </c>
      <c r="BA14" s="707" t="str">
        <f t="shared" si="104"/>
        <v>-</v>
      </c>
      <c r="BB14" s="708" t="str">
        <f t="shared" si="105"/>
        <v>-</v>
      </c>
      <c r="BC14" s="710" t="str">
        <f t="shared" si="106"/>
        <v>-</v>
      </c>
      <c r="BD14">
        <f t="shared" si="142"/>
        <v>12</v>
      </c>
      <c r="BE14">
        <f t="shared" si="142"/>
        <v>11.5</v>
      </c>
      <c r="BF14">
        <f t="shared" si="142"/>
        <v>11</v>
      </c>
      <c r="BG14">
        <f t="shared" si="142"/>
        <v>10.5</v>
      </c>
      <c r="BH14">
        <f t="shared" si="142"/>
        <v>10</v>
      </c>
      <c r="BI14">
        <f t="shared" si="142"/>
        <v>9.5</v>
      </c>
      <c r="BJ14">
        <f t="shared" si="142"/>
        <v>9</v>
      </c>
      <c r="BK14">
        <f t="shared" si="142"/>
        <v>8.5</v>
      </c>
      <c r="BL14">
        <f t="shared" si="142"/>
        <v>8</v>
      </c>
      <c r="BM14">
        <f t="shared" si="142"/>
        <v>7.5</v>
      </c>
      <c r="BN14">
        <f t="shared" si="142"/>
        <v>7</v>
      </c>
      <c r="BO14">
        <f t="shared" si="142"/>
        <v>6.5</v>
      </c>
      <c r="BP14">
        <f t="shared" si="42"/>
        <v>3</v>
      </c>
      <c r="BQ14">
        <f t="shared" si="43"/>
        <v>2.875</v>
      </c>
      <c r="BR14">
        <f t="shared" si="44"/>
        <v>2.75</v>
      </c>
      <c r="BS14">
        <f t="shared" si="45"/>
        <v>2.625</v>
      </c>
      <c r="BT14">
        <f t="shared" si="46"/>
        <v>2.5</v>
      </c>
      <c r="BU14">
        <f t="shared" si="47"/>
        <v>2.375</v>
      </c>
      <c r="BV14">
        <f t="shared" si="48"/>
        <v>2.25</v>
      </c>
      <c r="BW14">
        <f t="shared" si="49"/>
        <v>2.125</v>
      </c>
      <c r="BX14">
        <f t="shared" si="50"/>
        <v>2</v>
      </c>
      <c r="BY14">
        <f t="shared" si="51"/>
        <v>1.875</v>
      </c>
      <c r="BZ14">
        <f t="shared" si="52"/>
        <v>1.75</v>
      </c>
      <c r="CA14">
        <f t="shared" si="53"/>
        <v>1.625</v>
      </c>
    </row>
    <row r="15" spans="1:79" x14ac:dyDescent="0.25">
      <c r="A15" s="817" t="s">
        <v>14</v>
      </c>
      <c r="B15" s="666" t="s">
        <v>9</v>
      </c>
      <c r="C15" s="663">
        <v>4</v>
      </c>
      <c r="D15" s="664">
        <v>5</v>
      </c>
      <c r="E15" s="665">
        <v>12</v>
      </c>
      <c r="F15" s="665">
        <v>220</v>
      </c>
      <c r="G15" s="665">
        <v>38</v>
      </c>
      <c r="H15" s="665">
        <v>1200</v>
      </c>
      <c r="I15" s="666">
        <v>3</v>
      </c>
      <c r="J15" s="666">
        <v>1.7</v>
      </c>
      <c r="K15" s="663"/>
      <c r="L15" s="667">
        <f t="shared" si="20"/>
        <v>22.352941176470591</v>
      </c>
      <c r="M15" s="668">
        <f t="shared" si="21"/>
        <v>4.4705882352941178</v>
      </c>
      <c r="N15" s="669">
        <f t="shared" si="140"/>
        <v>7.0588235294117645</v>
      </c>
      <c r="O15" s="670">
        <f t="shared" si="140"/>
        <v>6.1764705882352944</v>
      </c>
      <c r="P15" s="670">
        <f t="shared" si="140"/>
        <v>5.2941176470588234</v>
      </c>
      <c r="Q15" s="670">
        <f t="shared" si="140"/>
        <v>4.4117647058823533</v>
      </c>
      <c r="R15" s="670">
        <f t="shared" si="140"/>
        <v>3.5294117647058822</v>
      </c>
      <c r="S15" s="673" t="str">
        <f t="shared" si="140"/>
        <v>-</v>
      </c>
      <c r="T15" s="673" t="str">
        <f t="shared" si="140"/>
        <v>-</v>
      </c>
      <c r="U15" s="673" t="str">
        <f t="shared" si="140"/>
        <v>-</v>
      </c>
      <c r="V15" s="673" t="str">
        <f t="shared" si="140"/>
        <v>-</v>
      </c>
      <c r="W15" s="673" t="str">
        <f t="shared" si="140"/>
        <v>-</v>
      </c>
      <c r="X15" s="673" t="str">
        <f t="shared" si="141"/>
        <v>-</v>
      </c>
      <c r="Y15" s="688" t="str">
        <f t="shared" si="141"/>
        <v>-</v>
      </c>
      <c r="Z15" s="670" t="str">
        <f t="shared" si="141"/>
        <v>-</v>
      </c>
      <c r="AA15" s="670" t="str">
        <f t="shared" si="141"/>
        <v>-</v>
      </c>
      <c r="AB15" s="670" t="str">
        <f t="shared" si="141"/>
        <v>-</v>
      </c>
      <c r="AC15" s="670" t="str">
        <f t="shared" si="141"/>
        <v>-</v>
      </c>
      <c r="AD15" s="670" t="str">
        <f t="shared" si="141"/>
        <v>-</v>
      </c>
      <c r="AE15" s="673" t="str">
        <f t="shared" si="141"/>
        <v>-</v>
      </c>
      <c r="AF15" s="673" t="str">
        <f t="shared" si="141"/>
        <v>-</v>
      </c>
      <c r="AG15" s="673" t="str">
        <f t="shared" si="141"/>
        <v>-</v>
      </c>
      <c r="AH15" s="688" t="str">
        <f t="shared" si="141"/>
        <v>-</v>
      </c>
      <c r="AI15" s="669">
        <f t="shared" si="86"/>
        <v>1.4117647058823528</v>
      </c>
      <c r="AJ15" s="670">
        <f t="shared" si="87"/>
        <v>1.2352941176470589</v>
      </c>
      <c r="AK15" s="670">
        <f t="shared" si="88"/>
        <v>1.0588235294117647</v>
      </c>
      <c r="AL15" s="670">
        <f t="shared" si="89"/>
        <v>0.88235294117647067</v>
      </c>
      <c r="AM15" s="670">
        <f t="shared" si="90"/>
        <v>0.70588235294117641</v>
      </c>
      <c r="AN15" s="673" t="str">
        <f t="shared" si="91"/>
        <v>-</v>
      </c>
      <c r="AO15" s="673" t="str">
        <f t="shared" si="92"/>
        <v>-</v>
      </c>
      <c r="AP15" s="673" t="str">
        <f t="shared" si="93"/>
        <v>-</v>
      </c>
      <c r="AQ15" s="673" t="str">
        <f t="shared" si="94"/>
        <v>-</v>
      </c>
      <c r="AR15" s="673" t="str">
        <f t="shared" si="95"/>
        <v>-</v>
      </c>
      <c r="AS15" s="670" t="str">
        <f t="shared" si="96"/>
        <v>-</v>
      </c>
      <c r="AT15" s="670" t="str">
        <f t="shared" si="97"/>
        <v>-</v>
      </c>
      <c r="AU15" s="670" t="str">
        <f t="shared" si="98"/>
        <v>-</v>
      </c>
      <c r="AV15" s="670" t="str">
        <f t="shared" si="99"/>
        <v>-</v>
      </c>
      <c r="AW15" s="673" t="str">
        <f t="shared" si="100"/>
        <v>-</v>
      </c>
      <c r="AX15" s="673" t="str">
        <f t="shared" si="101"/>
        <v>-</v>
      </c>
      <c r="AY15" s="673" t="str">
        <f t="shared" si="102"/>
        <v>-</v>
      </c>
      <c r="AZ15" s="673" t="str">
        <f t="shared" si="103"/>
        <v>-</v>
      </c>
      <c r="BA15" s="673" t="str">
        <f t="shared" si="104"/>
        <v>-</v>
      </c>
      <c r="BB15" s="673" t="str">
        <f t="shared" si="105"/>
        <v>-</v>
      </c>
      <c r="BC15" s="674" t="str">
        <f t="shared" si="106"/>
        <v>-</v>
      </c>
      <c r="BD15">
        <f t="shared" si="142"/>
        <v>12</v>
      </c>
      <c r="BE15">
        <f t="shared" si="142"/>
        <v>10.5</v>
      </c>
      <c r="BF15">
        <f t="shared" si="142"/>
        <v>9</v>
      </c>
      <c r="BG15">
        <f t="shared" si="142"/>
        <v>7.5</v>
      </c>
      <c r="BH15">
        <f t="shared" si="142"/>
        <v>6</v>
      </c>
      <c r="BI15">
        <f t="shared" si="142"/>
        <v>4.5</v>
      </c>
      <c r="BJ15">
        <f t="shared" si="142"/>
        <v>3</v>
      </c>
      <c r="BK15">
        <f t="shared" si="142"/>
        <v>1.5</v>
      </c>
      <c r="BL15">
        <f t="shared" si="142"/>
        <v>0</v>
      </c>
      <c r="BM15">
        <f t="shared" si="142"/>
        <v>-1.5</v>
      </c>
      <c r="BN15">
        <f t="shared" si="142"/>
        <v>-3</v>
      </c>
      <c r="BO15">
        <f t="shared" si="142"/>
        <v>-4.5</v>
      </c>
      <c r="BP15">
        <f t="shared" si="42"/>
        <v>2.4</v>
      </c>
      <c r="BQ15">
        <f t="shared" si="43"/>
        <v>2.1</v>
      </c>
      <c r="BR15">
        <f t="shared" si="44"/>
        <v>1.8</v>
      </c>
      <c r="BS15">
        <f t="shared" si="45"/>
        <v>1.5</v>
      </c>
      <c r="BT15">
        <f t="shared" si="46"/>
        <v>1.2</v>
      </c>
      <c r="BU15">
        <f t="shared" si="47"/>
        <v>0.9</v>
      </c>
      <c r="BV15">
        <f t="shared" si="48"/>
        <v>0.6</v>
      </c>
      <c r="BW15">
        <f t="shared" si="49"/>
        <v>0.3</v>
      </c>
      <c r="BX15">
        <f t="shared" si="50"/>
        <v>0</v>
      </c>
      <c r="BY15">
        <f t="shared" si="51"/>
        <v>-0.3</v>
      </c>
      <c r="BZ15">
        <f t="shared" si="52"/>
        <v>-0.6</v>
      </c>
      <c r="CA15">
        <f t="shared" si="53"/>
        <v>-0.9</v>
      </c>
    </row>
    <row r="16" spans="1:79" x14ac:dyDescent="0.25">
      <c r="A16" s="818"/>
      <c r="B16" s="689" t="s">
        <v>10</v>
      </c>
      <c r="C16" s="690">
        <v>5</v>
      </c>
      <c r="D16" s="691">
        <v>5</v>
      </c>
      <c r="E16" s="692">
        <v>18</v>
      </c>
      <c r="F16" s="692">
        <v>260</v>
      </c>
      <c r="G16" s="692">
        <v>38</v>
      </c>
      <c r="H16" s="692">
        <v>1200</v>
      </c>
      <c r="I16" s="689">
        <v>4</v>
      </c>
      <c r="J16" s="689">
        <v>1.6</v>
      </c>
      <c r="K16" s="690"/>
      <c r="L16" s="693">
        <f t="shared" si="20"/>
        <v>23.75</v>
      </c>
      <c r="M16" s="694">
        <f t="shared" si="21"/>
        <v>4.75</v>
      </c>
      <c r="N16" s="695">
        <f t="shared" si="140"/>
        <v>11.25</v>
      </c>
      <c r="O16" s="696">
        <f t="shared" si="140"/>
        <v>10</v>
      </c>
      <c r="P16" s="696">
        <f t="shared" si="140"/>
        <v>8.75</v>
      </c>
      <c r="Q16" s="696">
        <f t="shared" si="140"/>
        <v>7.5</v>
      </c>
      <c r="R16" s="696">
        <f t="shared" si="140"/>
        <v>6.25</v>
      </c>
      <c r="S16" s="696">
        <f t="shared" si="140"/>
        <v>5</v>
      </c>
      <c r="T16" s="697" t="str">
        <f t="shared" si="140"/>
        <v>-</v>
      </c>
      <c r="U16" s="697" t="str">
        <f t="shared" si="140"/>
        <v>-</v>
      </c>
      <c r="V16" s="697" t="str">
        <f t="shared" si="140"/>
        <v>-</v>
      </c>
      <c r="W16" s="697" t="str">
        <f t="shared" si="140"/>
        <v>-</v>
      </c>
      <c r="X16" s="697" t="str">
        <f t="shared" si="141"/>
        <v>-</v>
      </c>
      <c r="Y16" s="698" t="str">
        <f t="shared" si="141"/>
        <v>-</v>
      </c>
      <c r="Z16" s="696" t="str">
        <f t="shared" si="141"/>
        <v>-</v>
      </c>
      <c r="AA16" s="696" t="str">
        <f t="shared" si="141"/>
        <v>-</v>
      </c>
      <c r="AB16" s="696" t="str">
        <f t="shared" si="141"/>
        <v>-</v>
      </c>
      <c r="AC16" s="696" t="str">
        <f t="shared" si="141"/>
        <v>-</v>
      </c>
      <c r="AD16" s="696" t="str">
        <f t="shared" si="141"/>
        <v>-</v>
      </c>
      <c r="AE16" s="696" t="str">
        <f t="shared" si="141"/>
        <v>-</v>
      </c>
      <c r="AF16" s="697" t="str">
        <f t="shared" si="141"/>
        <v>-</v>
      </c>
      <c r="AG16" s="697" t="str">
        <f t="shared" si="141"/>
        <v>-</v>
      </c>
      <c r="AH16" s="698" t="str">
        <f t="shared" si="141"/>
        <v>-</v>
      </c>
      <c r="AI16" s="695">
        <f t="shared" si="86"/>
        <v>2.25</v>
      </c>
      <c r="AJ16" s="696">
        <f t="shared" si="87"/>
        <v>2</v>
      </c>
      <c r="AK16" s="696">
        <f t="shared" si="88"/>
        <v>1.75</v>
      </c>
      <c r="AL16" s="696">
        <f t="shared" si="89"/>
        <v>1.5</v>
      </c>
      <c r="AM16" s="696">
        <f t="shared" si="90"/>
        <v>1.25</v>
      </c>
      <c r="AN16" s="696">
        <f t="shared" si="91"/>
        <v>1</v>
      </c>
      <c r="AO16" s="697" t="str">
        <f t="shared" si="92"/>
        <v>-</v>
      </c>
      <c r="AP16" s="697" t="str">
        <f t="shared" si="93"/>
        <v>-</v>
      </c>
      <c r="AQ16" s="697" t="str">
        <f t="shared" si="94"/>
        <v>-</v>
      </c>
      <c r="AR16" s="697" t="str">
        <f t="shared" si="95"/>
        <v>-</v>
      </c>
      <c r="AS16" s="696" t="str">
        <f t="shared" si="96"/>
        <v>-</v>
      </c>
      <c r="AT16" s="696" t="str">
        <f t="shared" si="97"/>
        <v>-</v>
      </c>
      <c r="AU16" s="696" t="str">
        <f t="shared" si="98"/>
        <v>-</v>
      </c>
      <c r="AV16" s="696" t="str">
        <f t="shared" si="99"/>
        <v>-</v>
      </c>
      <c r="AW16" s="696" t="str">
        <f t="shared" si="100"/>
        <v>-</v>
      </c>
      <c r="AX16" s="697" t="str">
        <f t="shared" si="101"/>
        <v>-</v>
      </c>
      <c r="AY16" s="697" t="str">
        <f t="shared" si="102"/>
        <v>-</v>
      </c>
      <c r="AZ16" s="697" t="str">
        <f t="shared" si="103"/>
        <v>-</v>
      </c>
      <c r="BA16" s="697" t="str">
        <f t="shared" si="104"/>
        <v>-</v>
      </c>
      <c r="BB16" s="697" t="str">
        <f t="shared" si="105"/>
        <v>-</v>
      </c>
      <c r="BC16" s="699" t="str">
        <f t="shared" si="106"/>
        <v>-</v>
      </c>
      <c r="BD16">
        <f t="shared" si="142"/>
        <v>18</v>
      </c>
      <c r="BE16">
        <f t="shared" si="142"/>
        <v>16</v>
      </c>
      <c r="BF16">
        <f t="shared" si="142"/>
        <v>14</v>
      </c>
      <c r="BG16">
        <f t="shared" si="142"/>
        <v>12</v>
      </c>
      <c r="BH16">
        <f t="shared" si="142"/>
        <v>10</v>
      </c>
      <c r="BI16">
        <f t="shared" si="142"/>
        <v>8</v>
      </c>
      <c r="BJ16">
        <f t="shared" si="142"/>
        <v>6</v>
      </c>
      <c r="BK16">
        <f t="shared" si="142"/>
        <v>4</v>
      </c>
      <c r="BL16">
        <f t="shared" si="142"/>
        <v>2</v>
      </c>
      <c r="BM16">
        <f t="shared" si="142"/>
        <v>0</v>
      </c>
      <c r="BN16">
        <f t="shared" si="142"/>
        <v>-2</v>
      </c>
      <c r="BO16">
        <f t="shared" si="142"/>
        <v>-4</v>
      </c>
      <c r="BP16">
        <f t="shared" si="42"/>
        <v>3.6</v>
      </c>
      <c r="BQ16">
        <f t="shared" si="43"/>
        <v>3.2</v>
      </c>
      <c r="BR16">
        <f t="shared" si="44"/>
        <v>2.8</v>
      </c>
      <c r="BS16">
        <f t="shared" si="45"/>
        <v>2.4</v>
      </c>
      <c r="BT16">
        <f t="shared" si="46"/>
        <v>2</v>
      </c>
      <c r="BU16">
        <f t="shared" si="47"/>
        <v>1.6</v>
      </c>
      <c r="BV16">
        <f t="shared" si="48"/>
        <v>1.2</v>
      </c>
      <c r="BW16">
        <f t="shared" si="49"/>
        <v>0.8</v>
      </c>
      <c r="BX16">
        <f t="shared" si="50"/>
        <v>0.4</v>
      </c>
      <c r="BY16">
        <f t="shared" si="51"/>
        <v>0</v>
      </c>
      <c r="BZ16">
        <f t="shared" si="52"/>
        <v>-0.4</v>
      </c>
      <c r="CA16">
        <f t="shared" si="53"/>
        <v>-0.8</v>
      </c>
    </row>
    <row r="17" spans="1:79" ht="15.75" thickBot="1" x14ac:dyDescent="0.3">
      <c r="A17" s="819"/>
      <c r="B17" s="700" t="s">
        <v>11</v>
      </c>
      <c r="C17" s="701">
        <v>7</v>
      </c>
      <c r="D17" s="702">
        <v>5</v>
      </c>
      <c r="E17" s="703">
        <v>22</v>
      </c>
      <c r="F17" s="703">
        <v>310</v>
      </c>
      <c r="G17" s="703">
        <v>38</v>
      </c>
      <c r="H17" s="703">
        <v>1200</v>
      </c>
      <c r="I17" s="700">
        <v>4</v>
      </c>
      <c r="J17" s="700">
        <v>1.6</v>
      </c>
      <c r="K17" s="701"/>
      <c r="L17" s="704">
        <f t="shared" si="20"/>
        <v>23.75</v>
      </c>
      <c r="M17" s="705">
        <f t="shared" si="21"/>
        <v>4.75</v>
      </c>
      <c r="N17" s="706">
        <f t="shared" si="140"/>
        <v>13.75</v>
      </c>
      <c r="O17" s="707">
        <f t="shared" si="140"/>
        <v>12.5</v>
      </c>
      <c r="P17" s="707">
        <f t="shared" si="140"/>
        <v>11.25</v>
      </c>
      <c r="Q17" s="707">
        <f t="shared" si="140"/>
        <v>10</v>
      </c>
      <c r="R17" s="707">
        <f t="shared" si="140"/>
        <v>8.75</v>
      </c>
      <c r="S17" s="707">
        <f t="shared" si="140"/>
        <v>7.5</v>
      </c>
      <c r="T17" s="707">
        <f t="shared" si="140"/>
        <v>6.25</v>
      </c>
      <c r="U17" s="708" t="str">
        <f t="shared" si="140"/>
        <v>-</v>
      </c>
      <c r="V17" s="708" t="str">
        <f t="shared" si="140"/>
        <v>-</v>
      </c>
      <c r="W17" s="708" t="str">
        <f t="shared" si="140"/>
        <v>-</v>
      </c>
      <c r="X17" s="708" t="str">
        <f t="shared" si="141"/>
        <v>-</v>
      </c>
      <c r="Y17" s="709" t="str">
        <f t="shared" si="141"/>
        <v>-</v>
      </c>
      <c r="Z17" s="707" t="str">
        <f t="shared" si="141"/>
        <v>-</v>
      </c>
      <c r="AA17" s="707" t="str">
        <f t="shared" si="141"/>
        <v>-</v>
      </c>
      <c r="AB17" s="707" t="str">
        <f t="shared" si="141"/>
        <v>-</v>
      </c>
      <c r="AC17" s="707" t="str">
        <f t="shared" si="141"/>
        <v>-</v>
      </c>
      <c r="AD17" s="707" t="str">
        <f t="shared" si="141"/>
        <v>-</v>
      </c>
      <c r="AE17" s="707" t="str">
        <f t="shared" si="141"/>
        <v>-</v>
      </c>
      <c r="AF17" s="707" t="str">
        <f t="shared" si="141"/>
        <v>-</v>
      </c>
      <c r="AG17" s="708" t="str">
        <f t="shared" si="141"/>
        <v>-</v>
      </c>
      <c r="AH17" s="709" t="str">
        <f t="shared" si="141"/>
        <v>-</v>
      </c>
      <c r="AI17" s="706">
        <f t="shared" si="86"/>
        <v>2.75</v>
      </c>
      <c r="AJ17" s="707">
        <f t="shared" si="87"/>
        <v>2.5</v>
      </c>
      <c r="AK17" s="707">
        <f t="shared" si="88"/>
        <v>2.25</v>
      </c>
      <c r="AL17" s="707">
        <f t="shared" si="89"/>
        <v>2</v>
      </c>
      <c r="AM17" s="707">
        <f t="shared" si="90"/>
        <v>1.75</v>
      </c>
      <c r="AN17" s="707">
        <f t="shared" si="91"/>
        <v>1.5</v>
      </c>
      <c r="AO17" s="707">
        <f t="shared" si="92"/>
        <v>1.25</v>
      </c>
      <c r="AP17" s="708" t="str">
        <f t="shared" si="93"/>
        <v>-</v>
      </c>
      <c r="AQ17" s="708" t="str">
        <f t="shared" si="94"/>
        <v>-</v>
      </c>
      <c r="AR17" s="708" t="str">
        <f t="shared" si="95"/>
        <v>-</v>
      </c>
      <c r="AS17" s="707" t="str">
        <f t="shared" si="96"/>
        <v>-</v>
      </c>
      <c r="AT17" s="707" t="str">
        <f t="shared" si="97"/>
        <v>-</v>
      </c>
      <c r="AU17" s="707" t="str">
        <f t="shared" si="98"/>
        <v>-</v>
      </c>
      <c r="AV17" s="707" t="str">
        <f t="shared" si="99"/>
        <v>-</v>
      </c>
      <c r="AW17" s="707" t="str">
        <f t="shared" si="100"/>
        <v>-</v>
      </c>
      <c r="AX17" s="707" t="str">
        <f t="shared" si="101"/>
        <v>-</v>
      </c>
      <c r="AY17" s="708" t="str">
        <f t="shared" si="102"/>
        <v>-</v>
      </c>
      <c r="AZ17" s="708" t="str">
        <f t="shared" si="103"/>
        <v>-</v>
      </c>
      <c r="BA17" s="708" t="str">
        <f t="shared" si="104"/>
        <v>-</v>
      </c>
      <c r="BB17" s="708" t="str">
        <f t="shared" si="105"/>
        <v>-</v>
      </c>
      <c r="BC17" s="710" t="str">
        <f t="shared" si="106"/>
        <v>-</v>
      </c>
      <c r="BD17">
        <f t="shared" si="142"/>
        <v>22</v>
      </c>
      <c r="BE17">
        <f t="shared" si="142"/>
        <v>20</v>
      </c>
      <c r="BF17">
        <f t="shared" si="142"/>
        <v>18</v>
      </c>
      <c r="BG17">
        <f t="shared" si="142"/>
        <v>16</v>
      </c>
      <c r="BH17">
        <f t="shared" si="142"/>
        <v>14</v>
      </c>
      <c r="BI17">
        <f t="shared" si="142"/>
        <v>12</v>
      </c>
      <c r="BJ17">
        <f t="shared" si="142"/>
        <v>10</v>
      </c>
      <c r="BK17">
        <f t="shared" si="142"/>
        <v>8</v>
      </c>
      <c r="BL17">
        <f t="shared" si="142"/>
        <v>6</v>
      </c>
      <c r="BM17">
        <f t="shared" si="142"/>
        <v>4</v>
      </c>
      <c r="BN17">
        <f t="shared" si="142"/>
        <v>2</v>
      </c>
      <c r="BO17">
        <f t="shared" si="142"/>
        <v>0</v>
      </c>
      <c r="BP17">
        <f t="shared" si="42"/>
        <v>4.4000000000000004</v>
      </c>
      <c r="BQ17">
        <f t="shared" si="43"/>
        <v>4</v>
      </c>
      <c r="BR17">
        <f t="shared" si="44"/>
        <v>3.6</v>
      </c>
      <c r="BS17">
        <f t="shared" si="45"/>
        <v>3.2</v>
      </c>
      <c r="BT17">
        <f t="shared" si="46"/>
        <v>2.8</v>
      </c>
      <c r="BU17">
        <f t="shared" si="47"/>
        <v>2.4</v>
      </c>
      <c r="BV17">
        <f t="shared" si="48"/>
        <v>2</v>
      </c>
      <c r="BW17">
        <f t="shared" si="49"/>
        <v>1.6</v>
      </c>
      <c r="BX17">
        <f t="shared" si="50"/>
        <v>1.2</v>
      </c>
      <c r="BY17">
        <f t="shared" si="51"/>
        <v>0.8</v>
      </c>
      <c r="BZ17">
        <f t="shared" si="52"/>
        <v>0.4</v>
      </c>
      <c r="CA17">
        <f t="shared" si="53"/>
        <v>0</v>
      </c>
    </row>
    <row r="18" spans="1:79" x14ac:dyDescent="0.25">
      <c r="A18" s="817" t="s">
        <v>15</v>
      </c>
      <c r="B18" s="666" t="s">
        <v>9</v>
      </c>
      <c r="C18" s="663">
        <v>6</v>
      </c>
      <c r="D18" s="664">
        <v>6</v>
      </c>
      <c r="E18" s="665">
        <v>20</v>
      </c>
      <c r="F18" s="665">
        <v>390</v>
      </c>
      <c r="G18" s="665">
        <v>28</v>
      </c>
      <c r="H18" s="665">
        <v>1200</v>
      </c>
      <c r="I18" s="666">
        <v>4</v>
      </c>
      <c r="J18" s="666">
        <v>1.4</v>
      </c>
      <c r="K18" s="663"/>
      <c r="L18" s="667">
        <f t="shared" si="20"/>
        <v>20</v>
      </c>
      <c r="M18" s="668">
        <f t="shared" si="21"/>
        <v>3.3333333333333335</v>
      </c>
      <c r="N18" s="669">
        <f t="shared" si="140"/>
        <v>14.285714285714286</v>
      </c>
      <c r="O18" s="670">
        <f t="shared" si="140"/>
        <v>12.857142857142858</v>
      </c>
      <c r="P18" s="670">
        <f t="shared" si="140"/>
        <v>11.428571428571429</v>
      </c>
      <c r="Q18" s="670">
        <f t="shared" si="140"/>
        <v>10</v>
      </c>
      <c r="R18" s="670">
        <f t="shared" si="140"/>
        <v>8.5714285714285712</v>
      </c>
      <c r="S18" s="670">
        <f t="shared" si="140"/>
        <v>7.1428571428571432</v>
      </c>
      <c r="T18" s="670">
        <f t="shared" si="140"/>
        <v>5.7142857142857144</v>
      </c>
      <c r="U18" s="670">
        <f t="shared" si="140"/>
        <v>4.2857142857142856</v>
      </c>
      <c r="V18" s="673" t="str">
        <f t="shared" si="140"/>
        <v>-</v>
      </c>
      <c r="W18" s="673" t="str">
        <f t="shared" si="140"/>
        <v>-</v>
      </c>
      <c r="X18" s="673" t="str">
        <f t="shared" si="141"/>
        <v>-</v>
      </c>
      <c r="Y18" s="688" t="str">
        <f t="shared" si="141"/>
        <v>-</v>
      </c>
      <c r="Z18" s="670" t="str">
        <f t="shared" si="141"/>
        <v>-</v>
      </c>
      <c r="AA18" s="670" t="str">
        <f t="shared" si="141"/>
        <v>-</v>
      </c>
      <c r="AB18" s="670" t="str">
        <f t="shared" si="141"/>
        <v>-</v>
      </c>
      <c r="AC18" s="670" t="str">
        <f t="shared" si="141"/>
        <v>-</v>
      </c>
      <c r="AD18" s="670" t="str">
        <f t="shared" si="141"/>
        <v>-</v>
      </c>
      <c r="AE18" s="670" t="str">
        <f t="shared" si="141"/>
        <v>-</v>
      </c>
      <c r="AF18" s="670" t="str">
        <f t="shared" si="141"/>
        <v>-</v>
      </c>
      <c r="AG18" s="670" t="str">
        <f t="shared" si="141"/>
        <v>-</v>
      </c>
      <c r="AH18" s="688" t="str">
        <f t="shared" si="141"/>
        <v>-</v>
      </c>
      <c r="AI18" s="669">
        <f t="shared" si="86"/>
        <v>2.3809523809523809</v>
      </c>
      <c r="AJ18" s="670">
        <f t="shared" si="87"/>
        <v>2.1428571428571428</v>
      </c>
      <c r="AK18" s="670">
        <f t="shared" si="88"/>
        <v>1.9047619047619049</v>
      </c>
      <c r="AL18" s="670">
        <f t="shared" si="89"/>
        <v>1.6666666666666667</v>
      </c>
      <c r="AM18" s="670">
        <f t="shared" si="90"/>
        <v>1.4285714285714286</v>
      </c>
      <c r="AN18" s="670">
        <f t="shared" si="91"/>
        <v>1.1904761904761905</v>
      </c>
      <c r="AO18" s="670">
        <f t="shared" si="92"/>
        <v>0.95238095238095244</v>
      </c>
      <c r="AP18" s="670">
        <f t="shared" si="93"/>
        <v>0.7142857142857143</v>
      </c>
      <c r="AQ18" s="673" t="str">
        <f t="shared" si="94"/>
        <v>-</v>
      </c>
      <c r="AR18" s="673" t="str">
        <f t="shared" si="95"/>
        <v>-</v>
      </c>
      <c r="AS18" s="670" t="str">
        <f t="shared" si="96"/>
        <v>-</v>
      </c>
      <c r="AT18" s="670" t="str">
        <f t="shared" si="97"/>
        <v>-</v>
      </c>
      <c r="AU18" s="670" t="str">
        <f t="shared" si="98"/>
        <v>-</v>
      </c>
      <c r="AV18" s="670" t="str">
        <f t="shared" si="99"/>
        <v>-</v>
      </c>
      <c r="AW18" s="670" t="str">
        <f t="shared" si="100"/>
        <v>-</v>
      </c>
      <c r="AX18" s="670" t="str">
        <f t="shared" si="101"/>
        <v>-</v>
      </c>
      <c r="AY18" s="670" t="str">
        <f t="shared" si="102"/>
        <v>-</v>
      </c>
      <c r="AZ18" s="673" t="str">
        <f t="shared" si="103"/>
        <v>-</v>
      </c>
      <c r="BA18" s="673" t="str">
        <f t="shared" si="104"/>
        <v>-</v>
      </c>
      <c r="BB18" s="673" t="str">
        <f t="shared" si="105"/>
        <v>-</v>
      </c>
      <c r="BC18" s="674" t="str">
        <f t="shared" si="106"/>
        <v>-</v>
      </c>
      <c r="BD18">
        <f t="shared" si="142"/>
        <v>20</v>
      </c>
      <c r="BE18">
        <f t="shared" si="142"/>
        <v>18</v>
      </c>
      <c r="BF18">
        <f t="shared" si="142"/>
        <v>16</v>
      </c>
      <c r="BG18">
        <f t="shared" si="142"/>
        <v>14</v>
      </c>
      <c r="BH18">
        <f t="shared" si="142"/>
        <v>12</v>
      </c>
      <c r="BI18">
        <f t="shared" si="142"/>
        <v>10</v>
      </c>
      <c r="BJ18">
        <f t="shared" si="142"/>
        <v>8</v>
      </c>
      <c r="BK18">
        <f t="shared" si="142"/>
        <v>6</v>
      </c>
      <c r="BL18">
        <f t="shared" si="142"/>
        <v>4</v>
      </c>
      <c r="BM18">
        <f t="shared" si="142"/>
        <v>2</v>
      </c>
      <c r="BN18">
        <f t="shared" si="142"/>
        <v>0</v>
      </c>
      <c r="BO18">
        <f t="shared" si="142"/>
        <v>-2</v>
      </c>
      <c r="BP18">
        <f t="shared" si="42"/>
        <v>3.3333333333333335</v>
      </c>
      <c r="BQ18">
        <f t="shared" si="43"/>
        <v>3</v>
      </c>
      <c r="BR18">
        <f t="shared" si="44"/>
        <v>2.6666666666666665</v>
      </c>
      <c r="BS18">
        <f t="shared" si="45"/>
        <v>2.3333333333333335</v>
      </c>
      <c r="BT18">
        <f t="shared" si="46"/>
        <v>2</v>
      </c>
      <c r="BU18">
        <f t="shared" si="47"/>
        <v>1.6666666666666667</v>
      </c>
      <c r="BV18">
        <f t="shared" si="48"/>
        <v>1.3333333333333333</v>
      </c>
      <c r="BW18">
        <f t="shared" si="49"/>
        <v>1</v>
      </c>
      <c r="BX18">
        <f t="shared" si="50"/>
        <v>0.66666666666666663</v>
      </c>
      <c r="BY18">
        <f t="shared" si="51"/>
        <v>0.33333333333333331</v>
      </c>
      <c r="BZ18">
        <f t="shared" si="52"/>
        <v>0</v>
      </c>
      <c r="CA18">
        <f t="shared" si="53"/>
        <v>-0.33333333333333331</v>
      </c>
    </row>
    <row r="19" spans="1:79" x14ac:dyDescent="0.25">
      <c r="A19" s="818"/>
      <c r="B19" s="689" t="s">
        <v>10</v>
      </c>
      <c r="C19" s="690">
        <v>7</v>
      </c>
      <c r="D19" s="691">
        <v>6</v>
      </c>
      <c r="E19" s="692">
        <v>24</v>
      </c>
      <c r="F19" s="692">
        <v>470</v>
      </c>
      <c r="G19" s="692">
        <v>28</v>
      </c>
      <c r="H19" s="692">
        <v>1200</v>
      </c>
      <c r="I19" s="689">
        <v>4</v>
      </c>
      <c r="J19" s="689">
        <v>1.4</v>
      </c>
      <c r="K19" s="690"/>
      <c r="L19" s="693">
        <f t="shared" si="20"/>
        <v>20</v>
      </c>
      <c r="M19" s="694">
        <f t="shared" si="21"/>
        <v>3.3333333333333335</v>
      </c>
      <c r="N19" s="695">
        <f t="shared" ref="N19:W32" si="143">IF(AND(N$2&lt;=$F19,($E19-$I19*N$2/100)/$J19&gt;0),($E19-$I19*N$2/100)/$J19,"-")</f>
        <v>17.142857142857142</v>
      </c>
      <c r="O19" s="696">
        <f t="shared" si="143"/>
        <v>15.714285714285715</v>
      </c>
      <c r="P19" s="696">
        <f t="shared" si="143"/>
        <v>14.285714285714286</v>
      </c>
      <c r="Q19" s="696">
        <f t="shared" si="143"/>
        <v>12.857142857142858</v>
      </c>
      <c r="R19" s="696">
        <f t="shared" si="143"/>
        <v>11.428571428571429</v>
      </c>
      <c r="S19" s="696">
        <f t="shared" si="143"/>
        <v>10</v>
      </c>
      <c r="T19" s="696">
        <f t="shared" si="143"/>
        <v>8.5714285714285712</v>
      </c>
      <c r="U19" s="696">
        <f t="shared" si="143"/>
        <v>7.1428571428571432</v>
      </c>
      <c r="V19" s="696">
        <f t="shared" si="143"/>
        <v>5.7142857142857144</v>
      </c>
      <c r="W19" s="696">
        <f t="shared" si="143"/>
        <v>4.2857142857142856</v>
      </c>
      <c r="X19" s="697" t="str">
        <f t="shared" ref="X19:AH32" si="144">IF(AND(X$2&lt;=$F19,($E19-$I19*X$2/100)/$J19&gt;0),($E19-$I19*X$2/100)/$J19,"-")</f>
        <v>-</v>
      </c>
      <c r="Y19" s="698" t="str">
        <f t="shared" si="144"/>
        <v>-</v>
      </c>
      <c r="Z19" s="696" t="str">
        <f t="shared" si="144"/>
        <v>-</v>
      </c>
      <c r="AA19" s="696" t="str">
        <f t="shared" si="144"/>
        <v>-</v>
      </c>
      <c r="AB19" s="696" t="str">
        <f t="shared" si="144"/>
        <v>-</v>
      </c>
      <c r="AC19" s="696" t="str">
        <f t="shared" si="144"/>
        <v>-</v>
      </c>
      <c r="AD19" s="696" t="str">
        <f t="shared" si="144"/>
        <v>-</v>
      </c>
      <c r="AE19" s="696" t="str">
        <f t="shared" si="144"/>
        <v>-</v>
      </c>
      <c r="AF19" s="696" t="str">
        <f t="shared" si="144"/>
        <v>-</v>
      </c>
      <c r="AG19" s="696" t="str">
        <f t="shared" si="144"/>
        <v>-</v>
      </c>
      <c r="AH19" s="711" t="str">
        <f t="shared" si="144"/>
        <v>-</v>
      </c>
      <c r="AI19" s="695">
        <f t="shared" si="86"/>
        <v>2.8571428571428572</v>
      </c>
      <c r="AJ19" s="696">
        <f t="shared" si="87"/>
        <v>2.6190476190476191</v>
      </c>
      <c r="AK19" s="696">
        <f t="shared" si="88"/>
        <v>2.3809523809523809</v>
      </c>
      <c r="AL19" s="696">
        <f t="shared" si="89"/>
        <v>2.1428571428571428</v>
      </c>
      <c r="AM19" s="696">
        <f t="shared" si="90"/>
        <v>1.9047619047619049</v>
      </c>
      <c r="AN19" s="696">
        <f t="shared" si="91"/>
        <v>1.6666666666666667</v>
      </c>
      <c r="AO19" s="696">
        <f t="shared" si="92"/>
        <v>1.4285714285714286</v>
      </c>
      <c r="AP19" s="696">
        <f t="shared" si="93"/>
        <v>1.1904761904761905</v>
      </c>
      <c r="AQ19" s="696">
        <f t="shared" si="94"/>
        <v>0.95238095238095244</v>
      </c>
      <c r="AR19" s="696">
        <f t="shared" si="95"/>
        <v>0.7142857142857143</v>
      </c>
      <c r="AS19" s="696" t="str">
        <f t="shared" si="96"/>
        <v>-</v>
      </c>
      <c r="AT19" s="696" t="str">
        <f t="shared" si="97"/>
        <v>-</v>
      </c>
      <c r="AU19" s="696" t="str">
        <f t="shared" si="98"/>
        <v>-</v>
      </c>
      <c r="AV19" s="696" t="str">
        <f t="shared" si="99"/>
        <v>-</v>
      </c>
      <c r="AW19" s="696" t="str">
        <f t="shared" si="100"/>
        <v>-</v>
      </c>
      <c r="AX19" s="696" t="str">
        <f t="shared" si="101"/>
        <v>-</v>
      </c>
      <c r="AY19" s="696" t="str">
        <f t="shared" si="102"/>
        <v>-</v>
      </c>
      <c r="AZ19" s="696" t="str">
        <f t="shared" si="103"/>
        <v>-</v>
      </c>
      <c r="BA19" s="696" t="str">
        <f t="shared" si="104"/>
        <v>-</v>
      </c>
      <c r="BB19" s="697" t="str">
        <f t="shared" si="105"/>
        <v>-</v>
      </c>
      <c r="BC19" s="699" t="str">
        <f t="shared" si="106"/>
        <v>-</v>
      </c>
      <c r="BD19">
        <f t="shared" ref="BD19:BO30" si="145">$E19-$I19*BD$2/100</f>
        <v>24</v>
      </c>
      <c r="BE19">
        <f t="shared" si="145"/>
        <v>22</v>
      </c>
      <c r="BF19">
        <f t="shared" si="145"/>
        <v>20</v>
      </c>
      <c r="BG19">
        <f t="shared" si="145"/>
        <v>18</v>
      </c>
      <c r="BH19">
        <f t="shared" si="145"/>
        <v>16</v>
      </c>
      <c r="BI19">
        <f t="shared" si="145"/>
        <v>14</v>
      </c>
      <c r="BJ19">
        <f t="shared" si="145"/>
        <v>12</v>
      </c>
      <c r="BK19">
        <f t="shared" si="145"/>
        <v>10</v>
      </c>
      <c r="BL19">
        <f t="shared" si="145"/>
        <v>8</v>
      </c>
      <c r="BM19">
        <f t="shared" si="145"/>
        <v>6</v>
      </c>
      <c r="BN19">
        <f t="shared" si="145"/>
        <v>4</v>
      </c>
      <c r="BO19">
        <f t="shared" si="145"/>
        <v>2</v>
      </c>
      <c r="BP19">
        <f t="shared" si="42"/>
        <v>4</v>
      </c>
      <c r="BQ19">
        <f t="shared" si="43"/>
        <v>3.6666666666666665</v>
      </c>
      <c r="BR19">
        <f t="shared" si="44"/>
        <v>3.3333333333333335</v>
      </c>
      <c r="BS19">
        <f t="shared" si="45"/>
        <v>3</v>
      </c>
      <c r="BT19">
        <f t="shared" si="46"/>
        <v>2.6666666666666665</v>
      </c>
      <c r="BU19">
        <f t="shared" si="47"/>
        <v>2.3333333333333335</v>
      </c>
      <c r="BV19">
        <f t="shared" si="48"/>
        <v>2</v>
      </c>
      <c r="BW19">
        <f t="shared" si="49"/>
        <v>1.6666666666666667</v>
      </c>
      <c r="BX19">
        <f t="shared" si="50"/>
        <v>1.3333333333333333</v>
      </c>
      <c r="BY19">
        <f t="shared" si="51"/>
        <v>1</v>
      </c>
      <c r="BZ19">
        <f t="shared" si="52"/>
        <v>0.66666666666666663</v>
      </c>
      <c r="CA19">
        <f t="shared" si="53"/>
        <v>0.33333333333333331</v>
      </c>
    </row>
    <row r="20" spans="1:79" ht="15.75" thickBot="1" x14ac:dyDescent="0.3">
      <c r="A20" s="819"/>
      <c r="B20" s="700" t="s">
        <v>11</v>
      </c>
      <c r="C20" s="701">
        <v>8</v>
      </c>
      <c r="D20" s="702">
        <v>6</v>
      </c>
      <c r="E20" s="703">
        <v>29</v>
      </c>
      <c r="F20" s="703">
        <v>560</v>
      </c>
      <c r="G20" s="703">
        <v>28</v>
      </c>
      <c r="H20" s="703">
        <v>1200</v>
      </c>
      <c r="I20" s="700">
        <v>4</v>
      </c>
      <c r="J20" s="700">
        <v>1.4</v>
      </c>
      <c r="K20" s="701"/>
      <c r="L20" s="704">
        <f t="shared" si="20"/>
        <v>20</v>
      </c>
      <c r="M20" s="705">
        <f t="shared" si="21"/>
        <v>3.3333333333333335</v>
      </c>
      <c r="N20" s="721">
        <f t="shared" si="143"/>
        <v>20.714285714285715</v>
      </c>
      <c r="O20" s="722">
        <f t="shared" si="143"/>
        <v>19.285714285714288</v>
      </c>
      <c r="P20" s="722">
        <f t="shared" si="143"/>
        <v>17.857142857142858</v>
      </c>
      <c r="Q20" s="722">
        <f t="shared" si="143"/>
        <v>16.428571428571431</v>
      </c>
      <c r="R20" s="722">
        <f t="shared" si="143"/>
        <v>15.000000000000002</v>
      </c>
      <c r="S20" s="722">
        <f t="shared" si="143"/>
        <v>13.571428571428573</v>
      </c>
      <c r="T20" s="722">
        <f t="shared" si="143"/>
        <v>12.142857142857144</v>
      </c>
      <c r="U20" s="722">
        <f t="shared" si="143"/>
        <v>10.714285714285715</v>
      </c>
      <c r="V20" s="722">
        <f t="shared" si="143"/>
        <v>9.2857142857142865</v>
      </c>
      <c r="W20" s="722">
        <f t="shared" si="143"/>
        <v>7.8571428571428577</v>
      </c>
      <c r="X20" s="722">
        <f t="shared" si="144"/>
        <v>6.4285714285714288</v>
      </c>
      <c r="Y20" s="723">
        <f t="shared" si="144"/>
        <v>5</v>
      </c>
      <c r="Z20" s="722" t="str">
        <f t="shared" si="144"/>
        <v>-</v>
      </c>
      <c r="AA20" s="722" t="str">
        <f t="shared" si="144"/>
        <v>-</v>
      </c>
      <c r="AB20" s="722" t="str">
        <f t="shared" si="144"/>
        <v>-</v>
      </c>
      <c r="AC20" s="722" t="str">
        <f t="shared" si="144"/>
        <v>-</v>
      </c>
      <c r="AD20" s="722" t="str">
        <f t="shared" si="144"/>
        <v>-</v>
      </c>
      <c r="AE20" s="722" t="str">
        <f t="shared" si="144"/>
        <v>-</v>
      </c>
      <c r="AF20" s="722" t="str">
        <f t="shared" si="144"/>
        <v>-</v>
      </c>
      <c r="AG20" s="722" t="str">
        <f t="shared" si="144"/>
        <v>-</v>
      </c>
      <c r="AH20" s="723" t="str">
        <f t="shared" si="144"/>
        <v>-</v>
      </c>
      <c r="AI20" s="721">
        <f t="shared" si="86"/>
        <v>3.4523809523809526</v>
      </c>
      <c r="AJ20" s="722">
        <f t="shared" si="87"/>
        <v>3.2142857142857149</v>
      </c>
      <c r="AK20" s="722">
        <f t="shared" si="88"/>
        <v>2.9761904761904763</v>
      </c>
      <c r="AL20" s="722">
        <f t="shared" si="89"/>
        <v>2.7380952380952386</v>
      </c>
      <c r="AM20" s="722">
        <f t="shared" si="90"/>
        <v>2.5000000000000004</v>
      </c>
      <c r="AN20" s="722">
        <f t="shared" si="91"/>
        <v>2.2619047619047623</v>
      </c>
      <c r="AO20" s="722">
        <f t="shared" si="92"/>
        <v>2.0238095238095242</v>
      </c>
      <c r="AP20" s="722">
        <f t="shared" si="93"/>
        <v>1.7857142857142858</v>
      </c>
      <c r="AQ20" s="722">
        <f t="shared" si="94"/>
        <v>1.5476190476190477</v>
      </c>
      <c r="AR20" s="722">
        <f t="shared" si="95"/>
        <v>1.3095238095238095</v>
      </c>
      <c r="AS20" s="722">
        <f t="shared" si="96"/>
        <v>1.0714285714285714</v>
      </c>
      <c r="AT20" s="722">
        <f t="shared" si="97"/>
        <v>0.83333333333333337</v>
      </c>
      <c r="AU20" s="722" t="str">
        <f t="shared" si="98"/>
        <v>-</v>
      </c>
      <c r="AV20" s="722" t="str">
        <f t="shared" si="99"/>
        <v>-</v>
      </c>
      <c r="AW20" s="722" t="str">
        <f t="shared" si="100"/>
        <v>-</v>
      </c>
      <c r="AX20" s="722" t="str">
        <f t="shared" si="101"/>
        <v>-</v>
      </c>
      <c r="AY20" s="722" t="str">
        <f t="shared" si="102"/>
        <v>-</v>
      </c>
      <c r="AZ20" s="722" t="str">
        <f t="shared" si="103"/>
        <v>-</v>
      </c>
      <c r="BA20" s="722" t="str">
        <f t="shared" si="104"/>
        <v>-</v>
      </c>
      <c r="BB20" s="722" t="str">
        <f t="shared" si="105"/>
        <v>-</v>
      </c>
      <c r="BC20" s="724" t="str">
        <f t="shared" si="106"/>
        <v>-</v>
      </c>
      <c r="BD20">
        <f t="shared" si="145"/>
        <v>29</v>
      </c>
      <c r="BE20">
        <f t="shared" si="145"/>
        <v>27</v>
      </c>
      <c r="BF20">
        <f t="shared" si="145"/>
        <v>25</v>
      </c>
      <c r="BG20">
        <f t="shared" si="145"/>
        <v>23</v>
      </c>
      <c r="BH20">
        <f t="shared" si="145"/>
        <v>21</v>
      </c>
      <c r="BI20">
        <f t="shared" si="145"/>
        <v>19</v>
      </c>
      <c r="BJ20">
        <f t="shared" si="145"/>
        <v>17</v>
      </c>
      <c r="BK20">
        <f t="shared" si="145"/>
        <v>15</v>
      </c>
      <c r="BL20">
        <f t="shared" si="145"/>
        <v>13</v>
      </c>
      <c r="BM20">
        <f t="shared" si="145"/>
        <v>11</v>
      </c>
      <c r="BN20">
        <f t="shared" si="145"/>
        <v>9</v>
      </c>
      <c r="BO20">
        <f t="shared" si="145"/>
        <v>7</v>
      </c>
      <c r="BP20">
        <f t="shared" si="42"/>
        <v>4.833333333333333</v>
      </c>
      <c r="BQ20">
        <f t="shared" si="43"/>
        <v>4.5</v>
      </c>
      <c r="BR20">
        <f t="shared" si="44"/>
        <v>4.166666666666667</v>
      </c>
      <c r="BS20">
        <f t="shared" si="45"/>
        <v>3.8333333333333335</v>
      </c>
      <c r="BT20">
        <f t="shared" si="46"/>
        <v>3.5</v>
      </c>
      <c r="BU20">
        <f t="shared" si="47"/>
        <v>3.1666666666666665</v>
      </c>
      <c r="BV20">
        <f t="shared" si="48"/>
        <v>2.8333333333333335</v>
      </c>
      <c r="BW20">
        <f t="shared" si="49"/>
        <v>2.5</v>
      </c>
      <c r="BX20">
        <f t="shared" si="50"/>
        <v>2.1666666666666665</v>
      </c>
      <c r="BY20">
        <f t="shared" si="51"/>
        <v>1.8333333333333333</v>
      </c>
      <c r="BZ20">
        <f t="shared" si="52"/>
        <v>1.5</v>
      </c>
      <c r="CA20">
        <f t="shared" si="53"/>
        <v>1.1666666666666667</v>
      </c>
    </row>
    <row r="21" spans="1:79" x14ac:dyDescent="0.25">
      <c r="A21" s="817" t="s">
        <v>208</v>
      </c>
      <c r="B21" s="666" t="s">
        <v>9</v>
      </c>
      <c r="C21" s="663">
        <v>2</v>
      </c>
      <c r="D21" s="718">
        <v>7</v>
      </c>
      <c r="E21" s="665">
        <v>20</v>
      </c>
      <c r="F21" s="665">
        <v>260</v>
      </c>
      <c r="G21" s="665">
        <v>50</v>
      </c>
      <c r="H21" s="665">
        <v>1200</v>
      </c>
      <c r="I21" s="666">
        <v>0</v>
      </c>
      <c r="J21" s="666">
        <v>3.9</v>
      </c>
      <c r="K21" s="663"/>
      <c r="L21" s="667">
        <f>G21/J21</f>
        <v>12.820512820512821</v>
      </c>
      <c r="M21" s="668">
        <f>L21/D21</f>
        <v>1.8315018315018317</v>
      </c>
      <c r="N21" s="669">
        <f t="shared" ref="N21:W24" si="146">IF(AND(N$2&lt;=$F21,($E21-$I21*N$2/100)/$J21&gt;0),($E21-$I21*N$2/100)/$J21,"-")</f>
        <v>5.1282051282051286</v>
      </c>
      <c r="O21" s="670">
        <f t="shared" si="146"/>
        <v>5.1282051282051286</v>
      </c>
      <c r="P21" s="670">
        <f t="shared" si="146"/>
        <v>5.1282051282051286</v>
      </c>
      <c r="Q21" s="670">
        <f t="shared" si="146"/>
        <v>5.1282051282051286</v>
      </c>
      <c r="R21" s="670">
        <f t="shared" si="146"/>
        <v>5.1282051282051286</v>
      </c>
      <c r="S21" s="670">
        <f t="shared" si="146"/>
        <v>5.1282051282051286</v>
      </c>
      <c r="T21" s="670" t="str">
        <f t="shared" si="146"/>
        <v>-</v>
      </c>
      <c r="U21" s="673" t="str">
        <f t="shared" si="146"/>
        <v>-</v>
      </c>
      <c r="V21" s="673" t="str">
        <f t="shared" si="146"/>
        <v>-</v>
      </c>
      <c r="W21" s="673" t="str">
        <f t="shared" si="146"/>
        <v>-</v>
      </c>
      <c r="X21" s="673" t="str">
        <f t="shared" si="144"/>
        <v>-</v>
      </c>
      <c r="Y21" s="688" t="str">
        <f t="shared" si="144"/>
        <v>-</v>
      </c>
      <c r="Z21" s="670" t="str">
        <f t="shared" si="144"/>
        <v>-</v>
      </c>
      <c r="AA21" s="670" t="str">
        <f t="shared" si="144"/>
        <v>-</v>
      </c>
      <c r="AB21" s="670" t="str">
        <f t="shared" si="144"/>
        <v>-</v>
      </c>
      <c r="AC21" s="670" t="str">
        <f t="shared" si="144"/>
        <v>-</v>
      </c>
      <c r="AD21" s="670" t="str">
        <f t="shared" si="144"/>
        <v>-</v>
      </c>
      <c r="AE21" s="670" t="str">
        <f t="shared" si="144"/>
        <v>-</v>
      </c>
      <c r="AF21" s="670" t="str">
        <f t="shared" si="144"/>
        <v>-</v>
      </c>
      <c r="AG21" s="673" t="str">
        <f t="shared" si="144"/>
        <v>-</v>
      </c>
      <c r="AH21" s="688" t="str">
        <f t="shared" si="144"/>
        <v>-</v>
      </c>
      <c r="AI21" s="669">
        <f t="shared" ref="AI21:AR24" si="147">IF(N$2&lt;=$F21,N21/$D21,"-")</f>
        <v>0.73260073260073266</v>
      </c>
      <c r="AJ21" s="670">
        <f t="shared" si="147"/>
        <v>0.73260073260073266</v>
      </c>
      <c r="AK21" s="670">
        <f t="shared" si="147"/>
        <v>0.73260073260073266</v>
      </c>
      <c r="AL21" s="670">
        <f t="shared" si="147"/>
        <v>0.73260073260073266</v>
      </c>
      <c r="AM21" s="670">
        <f t="shared" si="147"/>
        <v>0.73260073260073266</v>
      </c>
      <c r="AN21" s="670">
        <f t="shared" si="147"/>
        <v>0.73260073260073266</v>
      </c>
      <c r="AO21" s="670" t="str">
        <f t="shared" si="147"/>
        <v>-</v>
      </c>
      <c r="AP21" s="673" t="str">
        <f t="shared" si="147"/>
        <v>-</v>
      </c>
      <c r="AQ21" s="673" t="str">
        <f t="shared" si="147"/>
        <v>-</v>
      </c>
      <c r="AR21" s="673" t="str">
        <f t="shared" si="147"/>
        <v>-</v>
      </c>
      <c r="AS21" s="670" t="str">
        <f t="shared" si="96"/>
        <v>-</v>
      </c>
      <c r="AT21" s="670" t="str">
        <f t="shared" si="97"/>
        <v>-</v>
      </c>
      <c r="AU21" s="670" t="str">
        <f t="shared" si="98"/>
        <v>-</v>
      </c>
      <c r="AV21" s="670" t="str">
        <f t="shared" si="99"/>
        <v>-</v>
      </c>
      <c r="AW21" s="670" t="str">
        <f t="shared" si="100"/>
        <v>-</v>
      </c>
      <c r="AX21" s="670" t="str">
        <f t="shared" si="101"/>
        <v>-</v>
      </c>
      <c r="AY21" s="673" t="str">
        <f t="shared" si="102"/>
        <v>-</v>
      </c>
      <c r="AZ21" s="673" t="str">
        <f t="shared" si="103"/>
        <v>-</v>
      </c>
      <c r="BA21" s="673" t="str">
        <f t="shared" si="104"/>
        <v>-</v>
      </c>
      <c r="BB21" s="673" t="str">
        <f t="shared" si="105"/>
        <v>-</v>
      </c>
      <c r="BC21" s="674" t="str">
        <f t="shared" si="106"/>
        <v>-</v>
      </c>
      <c r="BD21">
        <f t="shared" ref="BD21:BO24" si="148">$E21-$I21*BD$2/100</f>
        <v>20</v>
      </c>
      <c r="BE21">
        <f t="shared" si="148"/>
        <v>20</v>
      </c>
      <c r="BF21">
        <f t="shared" si="148"/>
        <v>20</v>
      </c>
      <c r="BG21">
        <f t="shared" si="148"/>
        <v>20</v>
      </c>
      <c r="BH21">
        <f t="shared" si="148"/>
        <v>20</v>
      </c>
      <c r="BI21">
        <f t="shared" si="148"/>
        <v>20</v>
      </c>
      <c r="BJ21">
        <f t="shared" si="148"/>
        <v>20</v>
      </c>
      <c r="BK21">
        <f t="shared" si="148"/>
        <v>20</v>
      </c>
      <c r="BL21">
        <f t="shared" si="148"/>
        <v>20</v>
      </c>
      <c r="BM21">
        <f t="shared" si="148"/>
        <v>20</v>
      </c>
      <c r="BN21">
        <f t="shared" si="148"/>
        <v>20</v>
      </c>
      <c r="BO21">
        <f t="shared" si="148"/>
        <v>20</v>
      </c>
      <c r="BP21">
        <f t="shared" ref="BP21:CA24" si="149">BD21/$D21</f>
        <v>2.8571428571428572</v>
      </c>
      <c r="BQ21">
        <f t="shared" si="149"/>
        <v>2.8571428571428572</v>
      </c>
      <c r="BR21">
        <f t="shared" si="149"/>
        <v>2.8571428571428572</v>
      </c>
      <c r="BS21">
        <f t="shared" si="149"/>
        <v>2.8571428571428572</v>
      </c>
      <c r="BT21">
        <f t="shared" si="149"/>
        <v>2.8571428571428572</v>
      </c>
      <c r="BU21">
        <f t="shared" si="149"/>
        <v>2.8571428571428572</v>
      </c>
      <c r="BV21">
        <f t="shared" si="149"/>
        <v>2.8571428571428572</v>
      </c>
      <c r="BW21">
        <f t="shared" si="149"/>
        <v>2.8571428571428572</v>
      </c>
      <c r="BX21">
        <f t="shared" si="149"/>
        <v>2.8571428571428572</v>
      </c>
      <c r="BY21">
        <f t="shared" si="149"/>
        <v>2.8571428571428572</v>
      </c>
      <c r="BZ21">
        <f t="shared" si="149"/>
        <v>2.8571428571428572</v>
      </c>
      <c r="CA21">
        <f t="shared" si="149"/>
        <v>2.8571428571428572</v>
      </c>
    </row>
    <row r="22" spans="1:79" x14ac:dyDescent="0.25">
      <c r="A22" s="823"/>
      <c r="B22" s="689" t="s">
        <v>10</v>
      </c>
      <c r="C22" s="690">
        <v>4</v>
      </c>
      <c r="D22" s="719">
        <v>7</v>
      </c>
      <c r="E22" s="692">
        <v>26</v>
      </c>
      <c r="F22" s="692">
        <v>370</v>
      </c>
      <c r="G22" s="692">
        <v>52</v>
      </c>
      <c r="H22" s="692">
        <v>1200</v>
      </c>
      <c r="I22" s="689">
        <v>0</v>
      </c>
      <c r="J22" s="689">
        <v>4</v>
      </c>
      <c r="K22" s="690"/>
      <c r="L22" s="693">
        <f>G22/J22</f>
        <v>13</v>
      </c>
      <c r="M22" s="694">
        <f>L22/D22</f>
        <v>1.8571428571428572</v>
      </c>
      <c r="N22" s="695">
        <f t="shared" si="146"/>
        <v>6.5</v>
      </c>
      <c r="O22" s="696">
        <f t="shared" si="146"/>
        <v>6.5</v>
      </c>
      <c r="P22" s="696">
        <f t="shared" si="146"/>
        <v>6.5</v>
      </c>
      <c r="Q22" s="696">
        <f t="shared" si="146"/>
        <v>6.5</v>
      </c>
      <c r="R22" s="696">
        <f t="shared" si="146"/>
        <v>6.5</v>
      </c>
      <c r="S22" s="696">
        <f t="shared" si="146"/>
        <v>6.5</v>
      </c>
      <c r="T22" s="696">
        <f t="shared" si="146"/>
        <v>6.5</v>
      </c>
      <c r="U22" s="696">
        <f t="shared" si="146"/>
        <v>6.5</v>
      </c>
      <c r="V22" s="697" t="str">
        <f t="shared" si="146"/>
        <v>-</v>
      </c>
      <c r="W22" s="697" t="str">
        <f t="shared" si="146"/>
        <v>-</v>
      </c>
      <c r="X22" s="697" t="str">
        <f t="shared" si="144"/>
        <v>-</v>
      </c>
      <c r="Y22" s="698" t="str">
        <f t="shared" si="144"/>
        <v>-</v>
      </c>
      <c r="Z22" s="696" t="str">
        <f t="shared" si="144"/>
        <v>-</v>
      </c>
      <c r="AA22" s="696" t="str">
        <f t="shared" si="144"/>
        <v>-</v>
      </c>
      <c r="AB22" s="696" t="str">
        <f t="shared" si="144"/>
        <v>-</v>
      </c>
      <c r="AC22" s="696" t="str">
        <f t="shared" si="144"/>
        <v>-</v>
      </c>
      <c r="AD22" s="696" t="str">
        <f t="shared" si="144"/>
        <v>-</v>
      </c>
      <c r="AE22" s="696" t="str">
        <f t="shared" si="144"/>
        <v>-</v>
      </c>
      <c r="AF22" s="696" t="str">
        <f t="shared" si="144"/>
        <v>-</v>
      </c>
      <c r="AG22" s="696" t="str">
        <f t="shared" si="144"/>
        <v>-</v>
      </c>
      <c r="AH22" s="698" t="str">
        <f t="shared" si="144"/>
        <v>-</v>
      </c>
      <c r="AI22" s="695">
        <f t="shared" si="147"/>
        <v>0.9285714285714286</v>
      </c>
      <c r="AJ22" s="696">
        <f t="shared" si="147"/>
        <v>0.9285714285714286</v>
      </c>
      <c r="AK22" s="696">
        <f t="shared" si="147"/>
        <v>0.9285714285714286</v>
      </c>
      <c r="AL22" s="696">
        <f t="shared" si="147"/>
        <v>0.9285714285714286</v>
      </c>
      <c r="AM22" s="696">
        <f t="shared" si="147"/>
        <v>0.9285714285714286</v>
      </c>
      <c r="AN22" s="696">
        <f t="shared" si="147"/>
        <v>0.9285714285714286</v>
      </c>
      <c r="AO22" s="696">
        <f t="shared" si="147"/>
        <v>0.9285714285714286</v>
      </c>
      <c r="AP22" s="696">
        <f t="shared" si="147"/>
        <v>0.9285714285714286</v>
      </c>
      <c r="AQ22" s="697" t="str">
        <f t="shared" si="147"/>
        <v>-</v>
      </c>
      <c r="AR22" s="697" t="str">
        <f t="shared" si="147"/>
        <v>-</v>
      </c>
      <c r="AS22" s="696" t="str">
        <f t="shared" si="96"/>
        <v>-</v>
      </c>
      <c r="AT22" s="696" t="str">
        <f t="shared" si="97"/>
        <v>-</v>
      </c>
      <c r="AU22" s="696" t="str">
        <f t="shared" si="98"/>
        <v>-</v>
      </c>
      <c r="AV22" s="696" t="str">
        <f t="shared" si="99"/>
        <v>-</v>
      </c>
      <c r="AW22" s="696" t="str">
        <f t="shared" si="100"/>
        <v>-</v>
      </c>
      <c r="AX22" s="696" t="str">
        <f t="shared" si="101"/>
        <v>-</v>
      </c>
      <c r="AY22" s="696" t="str">
        <f t="shared" si="102"/>
        <v>-</v>
      </c>
      <c r="AZ22" s="697" t="str">
        <f t="shared" si="103"/>
        <v>-</v>
      </c>
      <c r="BA22" s="697" t="str">
        <f t="shared" si="104"/>
        <v>-</v>
      </c>
      <c r="BB22" s="697" t="str">
        <f t="shared" si="105"/>
        <v>-</v>
      </c>
      <c r="BC22" s="699" t="str">
        <f t="shared" si="106"/>
        <v>-</v>
      </c>
      <c r="BD22">
        <f t="shared" si="148"/>
        <v>26</v>
      </c>
      <c r="BE22">
        <f t="shared" si="148"/>
        <v>26</v>
      </c>
      <c r="BF22">
        <f t="shared" si="148"/>
        <v>26</v>
      </c>
      <c r="BG22">
        <f t="shared" si="148"/>
        <v>26</v>
      </c>
      <c r="BH22">
        <f t="shared" si="148"/>
        <v>26</v>
      </c>
      <c r="BI22">
        <f t="shared" si="148"/>
        <v>26</v>
      </c>
      <c r="BJ22">
        <f t="shared" si="148"/>
        <v>26</v>
      </c>
      <c r="BK22">
        <f t="shared" si="148"/>
        <v>26</v>
      </c>
      <c r="BL22">
        <f t="shared" si="148"/>
        <v>26</v>
      </c>
      <c r="BM22">
        <f t="shared" si="148"/>
        <v>26</v>
      </c>
      <c r="BN22">
        <f t="shared" si="148"/>
        <v>26</v>
      </c>
      <c r="BO22">
        <f t="shared" si="148"/>
        <v>26</v>
      </c>
      <c r="BP22">
        <f t="shared" si="149"/>
        <v>3.7142857142857144</v>
      </c>
      <c r="BQ22">
        <f t="shared" si="149"/>
        <v>3.7142857142857144</v>
      </c>
      <c r="BR22">
        <f t="shared" si="149"/>
        <v>3.7142857142857144</v>
      </c>
      <c r="BS22">
        <f t="shared" si="149"/>
        <v>3.7142857142857144</v>
      </c>
      <c r="BT22">
        <f t="shared" si="149"/>
        <v>3.7142857142857144</v>
      </c>
      <c r="BU22">
        <f t="shared" si="149"/>
        <v>3.7142857142857144</v>
      </c>
      <c r="BV22">
        <f t="shared" si="149"/>
        <v>3.7142857142857144</v>
      </c>
      <c r="BW22">
        <f t="shared" si="149"/>
        <v>3.7142857142857144</v>
      </c>
      <c r="BX22">
        <f t="shared" si="149"/>
        <v>3.7142857142857144</v>
      </c>
      <c r="BY22">
        <f t="shared" si="149"/>
        <v>3.7142857142857144</v>
      </c>
      <c r="BZ22">
        <f t="shared" si="149"/>
        <v>3.7142857142857144</v>
      </c>
      <c r="CA22">
        <f t="shared" si="149"/>
        <v>3.7142857142857144</v>
      </c>
    </row>
    <row r="23" spans="1:79" x14ac:dyDescent="0.25">
      <c r="A23" s="818"/>
      <c r="B23" s="689" t="s">
        <v>11</v>
      </c>
      <c r="C23" s="690">
        <v>6</v>
      </c>
      <c r="D23" s="719">
        <v>7</v>
      </c>
      <c r="E23" s="692">
        <v>33</v>
      </c>
      <c r="F23" s="692">
        <v>480</v>
      </c>
      <c r="G23" s="692">
        <v>56</v>
      </c>
      <c r="H23" s="692">
        <v>1200</v>
      </c>
      <c r="I23" s="689">
        <v>0</v>
      </c>
      <c r="J23" s="689">
        <v>4.0999999999999996</v>
      </c>
      <c r="K23" s="690"/>
      <c r="L23" s="693">
        <f>G23/J23</f>
        <v>13.658536585365855</v>
      </c>
      <c r="M23" s="694">
        <f>L23/D23</f>
        <v>1.9512195121951221</v>
      </c>
      <c r="N23" s="695">
        <f t="shared" si="146"/>
        <v>8.0487804878048781</v>
      </c>
      <c r="O23" s="696">
        <f t="shared" si="146"/>
        <v>8.0487804878048781</v>
      </c>
      <c r="P23" s="696">
        <f t="shared" si="146"/>
        <v>8.0487804878048781</v>
      </c>
      <c r="Q23" s="696">
        <f t="shared" si="146"/>
        <v>8.0487804878048781</v>
      </c>
      <c r="R23" s="696">
        <f t="shared" si="146"/>
        <v>8.0487804878048781</v>
      </c>
      <c r="S23" s="696">
        <f t="shared" si="146"/>
        <v>8.0487804878048781</v>
      </c>
      <c r="T23" s="696">
        <f t="shared" si="146"/>
        <v>8.0487804878048781</v>
      </c>
      <c r="U23" s="696">
        <f t="shared" si="146"/>
        <v>8.0487804878048781</v>
      </c>
      <c r="V23" s="696">
        <f t="shared" si="146"/>
        <v>8.0487804878048781</v>
      </c>
      <c r="W23" s="696">
        <f t="shared" si="146"/>
        <v>8.0487804878048781</v>
      </c>
      <c r="X23" s="697" t="str">
        <f t="shared" si="144"/>
        <v>-</v>
      </c>
      <c r="Y23" s="698" t="str">
        <f t="shared" si="144"/>
        <v>-</v>
      </c>
      <c r="Z23" s="696" t="str">
        <f t="shared" si="144"/>
        <v>-</v>
      </c>
      <c r="AA23" s="696" t="str">
        <f t="shared" si="144"/>
        <v>-</v>
      </c>
      <c r="AB23" s="696" t="str">
        <f t="shared" si="144"/>
        <v>-</v>
      </c>
      <c r="AC23" s="696" t="str">
        <f t="shared" si="144"/>
        <v>-</v>
      </c>
      <c r="AD23" s="696" t="str">
        <f t="shared" si="144"/>
        <v>-</v>
      </c>
      <c r="AE23" s="696" t="str">
        <f t="shared" si="144"/>
        <v>-</v>
      </c>
      <c r="AF23" s="696" t="str">
        <f t="shared" si="144"/>
        <v>-</v>
      </c>
      <c r="AG23" s="696" t="str">
        <f t="shared" si="144"/>
        <v>-</v>
      </c>
      <c r="AH23" s="711" t="str">
        <f t="shared" si="144"/>
        <v>-</v>
      </c>
      <c r="AI23" s="695">
        <f t="shared" si="147"/>
        <v>1.1498257839721255</v>
      </c>
      <c r="AJ23" s="696">
        <f t="shared" si="147"/>
        <v>1.1498257839721255</v>
      </c>
      <c r="AK23" s="696">
        <f t="shared" si="147"/>
        <v>1.1498257839721255</v>
      </c>
      <c r="AL23" s="696">
        <f t="shared" si="147"/>
        <v>1.1498257839721255</v>
      </c>
      <c r="AM23" s="696">
        <f t="shared" si="147"/>
        <v>1.1498257839721255</v>
      </c>
      <c r="AN23" s="696">
        <f t="shared" si="147"/>
        <v>1.1498257839721255</v>
      </c>
      <c r="AO23" s="696">
        <f t="shared" si="147"/>
        <v>1.1498257839721255</v>
      </c>
      <c r="AP23" s="696">
        <f t="shared" si="147"/>
        <v>1.1498257839721255</v>
      </c>
      <c r="AQ23" s="696">
        <f t="shared" si="147"/>
        <v>1.1498257839721255</v>
      </c>
      <c r="AR23" s="696">
        <f t="shared" si="147"/>
        <v>1.1498257839721255</v>
      </c>
      <c r="AS23" s="696" t="str">
        <f t="shared" si="96"/>
        <v>-</v>
      </c>
      <c r="AT23" s="696" t="str">
        <f t="shared" si="97"/>
        <v>-</v>
      </c>
      <c r="AU23" s="696" t="str">
        <f t="shared" si="98"/>
        <v>-</v>
      </c>
      <c r="AV23" s="696" t="str">
        <f t="shared" si="99"/>
        <v>-</v>
      </c>
      <c r="AW23" s="696" t="str">
        <f t="shared" si="100"/>
        <v>-</v>
      </c>
      <c r="AX23" s="696" t="str">
        <f t="shared" si="101"/>
        <v>-</v>
      </c>
      <c r="AY23" s="696" t="str">
        <f t="shared" si="102"/>
        <v>-</v>
      </c>
      <c r="AZ23" s="696" t="str">
        <f t="shared" si="103"/>
        <v>-</v>
      </c>
      <c r="BA23" s="696" t="str">
        <f t="shared" si="104"/>
        <v>-</v>
      </c>
      <c r="BB23" s="697" t="str">
        <f t="shared" si="105"/>
        <v>-</v>
      </c>
      <c r="BC23" s="699" t="str">
        <f t="shared" si="106"/>
        <v>-</v>
      </c>
      <c r="BD23">
        <f t="shared" si="148"/>
        <v>33</v>
      </c>
      <c r="BE23">
        <f t="shared" si="148"/>
        <v>33</v>
      </c>
      <c r="BF23">
        <f t="shared" si="148"/>
        <v>33</v>
      </c>
      <c r="BG23">
        <f t="shared" si="148"/>
        <v>33</v>
      </c>
      <c r="BH23">
        <f t="shared" si="148"/>
        <v>33</v>
      </c>
      <c r="BI23">
        <f t="shared" si="148"/>
        <v>33</v>
      </c>
      <c r="BJ23">
        <f t="shared" si="148"/>
        <v>33</v>
      </c>
      <c r="BK23">
        <f t="shared" si="148"/>
        <v>33</v>
      </c>
      <c r="BL23">
        <f t="shared" si="148"/>
        <v>33</v>
      </c>
      <c r="BM23">
        <f t="shared" si="148"/>
        <v>33</v>
      </c>
      <c r="BN23">
        <f t="shared" si="148"/>
        <v>33</v>
      </c>
      <c r="BO23">
        <f t="shared" si="148"/>
        <v>33</v>
      </c>
      <c r="BP23">
        <f t="shared" si="149"/>
        <v>4.7142857142857144</v>
      </c>
      <c r="BQ23">
        <f t="shared" si="149"/>
        <v>4.7142857142857144</v>
      </c>
      <c r="BR23">
        <f t="shared" si="149"/>
        <v>4.7142857142857144</v>
      </c>
      <c r="BS23">
        <f t="shared" si="149"/>
        <v>4.7142857142857144</v>
      </c>
      <c r="BT23">
        <f t="shared" si="149"/>
        <v>4.7142857142857144</v>
      </c>
      <c r="BU23">
        <f t="shared" si="149"/>
        <v>4.7142857142857144</v>
      </c>
      <c r="BV23">
        <f t="shared" si="149"/>
        <v>4.7142857142857144</v>
      </c>
      <c r="BW23">
        <f t="shared" si="149"/>
        <v>4.7142857142857144</v>
      </c>
      <c r="BX23">
        <f t="shared" si="149"/>
        <v>4.7142857142857144</v>
      </c>
      <c r="BY23">
        <f t="shared" si="149"/>
        <v>4.7142857142857144</v>
      </c>
      <c r="BZ23">
        <f t="shared" si="149"/>
        <v>4.7142857142857144</v>
      </c>
      <c r="CA23">
        <f t="shared" si="149"/>
        <v>4.7142857142857144</v>
      </c>
    </row>
    <row r="24" spans="1:79" ht="15.75" thickBot="1" x14ac:dyDescent="0.3">
      <c r="A24" s="819"/>
      <c r="B24" s="679" t="s">
        <v>23</v>
      </c>
      <c r="C24" s="712">
        <v>7</v>
      </c>
      <c r="D24" s="713">
        <v>7</v>
      </c>
      <c r="E24" s="714">
        <v>40</v>
      </c>
      <c r="F24" s="714">
        <v>590</v>
      </c>
      <c r="G24" s="714">
        <v>62</v>
      </c>
      <c r="H24" s="714">
        <v>1200</v>
      </c>
      <c r="I24" s="715">
        <v>0</v>
      </c>
      <c r="J24" s="715">
        <v>4.2</v>
      </c>
      <c r="K24" s="716"/>
      <c r="L24" s="680">
        <f>G24/J24</f>
        <v>14.761904761904761</v>
      </c>
      <c r="M24" s="681">
        <f>L24/D24</f>
        <v>2.1088435374149657</v>
      </c>
      <c r="N24" s="682">
        <f t="shared" si="146"/>
        <v>9.5238095238095237</v>
      </c>
      <c r="O24" s="683">
        <f t="shared" si="146"/>
        <v>9.5238095238095237</v>
      </c>
      <c r="P24" s="683">
        <f t="shared" si="146"/>
        <v>9.5238095238095237</v>
      </c>
      <c r="Q24" s="683">
        <f t="shared" si="146"/>
        <v>9.5238095238095237</v>
      </c>
      <c r="R24" s="683">
        <f t="shared" si="146"/>
        <v>9.5238095238095237</v>
      </c>
      <c r="S24" s="683">
        <f t="shared" si="146"/>
        <v>9.5238095238095237</v>
      </c>
      <c r="T24" s="683">
        <f t="shared" si="146"/>
        <v>9.5238095238095237</v>
      </c>
      <c r="U24" s="683">
        <f t="shared" si="146"/>
        <v>9.5238095238095237</v>
      </c>
      <c r="V24" s="683">
        <f t="shared" si="146"/>
        <v>9.5238095238095237</v>
      </c>
      <c r="W24" s="683">
        <f t="shared" si="146"/>
        <v>9.5238095238095237</v>
      </c>
      <c r="X24" s="686">
        <f t="shared" si="144"/>
        <v>9.5238095238095237</v>
      </c>
      <c r="Y24" s="717">
        <f t="shared" si="144"/>
        <v>9.5238095238095237</v>
      </c>
      <c r="Z24" s="683" t="str">
        <f t="shared" si="144"/>
        <v>-</v>
      </c>
      <c r="AA24" s="683" t="str">
        <f t="shared" si="144"/>
        <v>-</v>
      </c>
      <c r="AB24" s="683" t="str">
        <f t="shared" si="144"/>
        <v>-</v>
      </c>
      <c r="AC24" s="683" t="str">
        <f t="shared" si="144"/>
        <v>-</v>
      </c>
      <c r="AD24" s="683" t="str">
        <f t="shared" si="144"/>
        <v>-</v>
      </c>
      <c r="AE24" s="683" t="str">
        <f t="shared" si="144"/>
        <v>-</v>
      </c>
      <c r="AF24" s="683" t="str">
        <f t="shared" si="144"/>
        <v>-</v>
      </c>
      <c r="AG24" s="683" t="str">
        <f t="shared" si="144"/>
        <v>-</v>
      </c>
      <c r="AH24" s="684" t="str">
        <f t="shared" si="144"/>
        <v>-</v>
      </c>
      <c r="AI24" s="682">
        <f t="shared" si="147"/>
        <v>1.3605442176870748</v>
      </c>
      <c r="AJ24" s="683">
        <f t="shared" si="147"/>
        <v>1.3605442176870748</v>
      </c>
      <c r="AK24" s="683">
        <f t="shared" si="147"/>
        <v>1.3605442176870748</v>
      </c>
      <c r="AL24" s="683">
        <f t="shared" si="147"/>
        <v>1.3605442176870748</v>
      </c>
      <c r="AM24" s="683">
        <f t="shared" si="147"/>
        <v>1.3605442176870748</v>
      </c>
      <c r="AN24" s="683">
        <f t="shared" si="147"/>
        <v>1.3605442176870748</v>
      </c>
      <c r="AO24" s="683">
        <f t="shared" si="147"/>
        <v>1.3605442176870748</v>
      </c>
      <c r="AP24" s="683">
        <f t="shared" si="147"/>
        <v>1.3605442176870748</v>
      </c>
      <c r="AQ24" s="683">
        <f t="shared" si="147"/>
        <v>1.3605442176870748</v>
      </c>
      <c r="AR24" s="683">
        <f t="shared" si="147"/>
        <v>1.3605442176870748</v>
      </c>
      <c r="AS24" s="683">
        <f t="shared" si="96"/>
        <v>1.3605442176870748</v>
      </c>
      <c r="AT24" s="683">
        <f t="shared" si="97"/>
        <v>1.3605442176870748</v>
      </c>
      <c r="AU24" s="683" t="str">
        <f t="shared" si="98"/>
        <v>-</v>
      </c>
      <c r="AV24" s="683" t="str">
        <f t="shared" si="99"/>
        <v>-</v>
      </c>
      <c r="AW24" s="683" t="str">
        <f t="shared" si="100"/>
        <v>-</v>
      </c>
      <c r="AX24" s="683" t="str">
        <f t="shared" si="101"/>
        <v>-</v>
      </c>
      <c r="AY24" s="683" t="str">
        <f t="shared" si="102"/>
        <v>-</v>
      </c>
      <c r="AZ24" s="683" t="str">
        <f t="shared" si="103"/>
        <v>-</v>
      </c>
      <c r="BA24" s="683" t="str">
        <f t="shared" si="104"/>
        <v>-</v>
      </c>
      <c r="BB24" s="686" t="str">
        <f t="shared" si="105"/>
        <v>-</v>
      </c>
      <c r="BC24" s="687" t="str">
        <f t="shared" si="106"/>
        <v>-</v>
      </c>
      <c r="BD24">
        <f t="shared" si="148"/>
        <v>40</v>
      </c>
      <c r="BE24">
        <f t="shared" si="148"/>
        <v>40</v>
      </c>
      <c r="BF24">
        <f t="shared" si="148"/>
        <v>40</v>
      </c>
      <c r="BG24">
        <f t="shared" si="148"/>
        <v>40</v>
      </c>
      <c r="BH24">
        <f t="shared" si="148"/>
        <v>40</v>
      </c>
      <c r="BI24">
        <f t="shared" si="148"/>
        <v>40</v>
      </c>
      <c r="BJ24">
        <f t="shared" si="148"/>
        <v>40</v>
      </c>
      <c r="BK24">
        <f t="shared" si="148"/>
        <v>40</v>
      </c>
      <c r="BL24">
        <f t="shared" si="148"/>
        <v>40</v>
      </c>
      <c r="BM24">
        <f t="shared" si="148"/>
        <v>40</v>
      </c>
      <c r="BN24">
        <f t="shared" si="148"/>
        <v>40</v>
      </c>
      <c r="BO24">
        <f t="shared" si="148"/>
        <v>40</v>
      </c>
      <c r="BP24">
        <f t="shared" si="149"/>
        <v>5.7142857142857144</v>
      </c>
      <c r="BQ24">
        <f t="shared" si="149"/>
        <v>5.7142857142857144</v>
      </c>
      <c r="BR24">
        <f t="shared" si="149"/>
        <v>5.7142857142857144</v>
      </c>
      <c r="BS24">
        <f t="shared" si="149"/>
        <v>5.7142857142857144</v>
      </c>
      <c r="BT24">
        <f t="shared" si="149"/>
        <v>5.7142857142857144</v>
      </c>
      <c r="BU24">
        <f t="shared" si="149"/>
        <v>5.7142857142857144</v>
      </c>
      <c r="BV24">
        <f t="shared" si="149"/>
        <v>5.7142857142857144</v>
      </c>
      <c r="BW24">
        <f t="shared" si="149"/>
        <v>5.7142857142857144</v>
      </c>
      <c r="BX24">
        <f t="shared" si="149"/>
        <v>5.7142857142857144</v>
      </c>
      <c r="BY24">
        <f t="shared" si="149"/>
        <v>5.7142857142857144</v>
      </c>
      <c r="BZ24">
        <f t="shared" si="149"/>
        <v>5.7142857142857144</v>
      </c>
      <c r="CA24">
        <f t="shared" si="149"/>
        <v>5.7142857142857144</v>
      </c>
    </row>
    <row r="25" spans="1:79" x14ac:dyDescent="0.25">
      <c r="A25" s="817" t="s">
        <v>16</v>
      </c>
      <c r="B25" s="666" t="s">
        <v>9</v>
      </c>
      <c r="C25" s="663">
        <v>3</v>
      </c>
      <c r="D25" s="664">
        <v>7</v>
      </c>
      <c r="E25" s="665">
        <v>9</v>
      </c>
      <c r="F25" s="665">
        <v>200</v>
      </c>
      <c r="G25" s="733">
        <v>32</v>
      </c>
      <c r="H25" s="733">
        <v>1200</v>
      </c>
      <c r="I25" s="734">
        <v>0</v>
      </c>
      <c r="J25" s="734">
        <v>2.1</v>
      </c>
      <c r="K25" s="663"/>
      <c r="L25" s="667">
        <f t="shared" si="20"/>
        <v>15.238095238095237</v>
      </c>
      <c r="M25" s="668">
        <f t="shared" si="21"/>
        <v>2.1768707482993195</v>
      </c>
      <c r="N25" s="669">
        <f t="shared" si="143"/>
        <v>4.2857142857142856</v>
      </c>
      <c r="O25" s="670">
        <f t="shared" si="143"/>
        <v>4.2857142857142856</v>
      </c>
      <c r="P25" s="670">
        <f t="shared" si="143"/>
        <v>4.2857142857142856</v>
      </c>
      <c r="Q25" s="670">
        <f t="shared" si="143"/>
        <v>4.2857142857142856</v>
      </c>
      <c r="R25" s="670">
        <f t="shared" si="143"/>
        <v>4.2857142857142856</v>
      </c>
      <c r="S25" s="673" t="str">
        <f t="shared" si="143"/>
        <v>-</v>
      </c>
      <c r="T25" s="673" t="str">
        <f t="shared" si="143"/>
        <v>-</v>
      </c>
      <c r="U25" s="673" t="str">
        <f t="shared" si="143"/>
        <v>-</v>
      </c>
      <c r="V25" s="673" t="str">
        <f t="shared" si="143"/>
        <v>-</v>
      </c>
      <c r="W25" s="673" t="str">
        <f t="shared" si="143"/>
        <v>-</v>
      </c>
      <c r="X25" s="673" t="str">
        <f t="shared" si="144"/>
        <v>-</v>
      </c>
      <c r="Y25" s="688" t="str">
        <f t="shared" si="144"/>
        <v>-</v>
      </c>
      <c r="Z25" s="670" t="str">
        <f t="shared" si="144"/>
        <v>-</v>
      </c>
      <c r="AA25" s="670" t="str">
        <f t="shared" si="144"/>
        <v>-</v>
      </c>
      <c r="AB25" s="670" t="str">
        <f t="shared" si="144"/>
        <v>-</v>
      </c>
      <c r="AC25" s="670" t="str">
        <f t="shared" si="144"/>
        <v>-</v>
      </c>
      <c r="AD25" s="670" t="str">
        <f t="shared" si="144"/>
        <v>-</v>
      </c>
      <c r="AE25" s="673" t="str">
        <f t="shared" si="144"/>
        <v>-</v>
      </c>
      <c r="AF25" s="673" t="str">
        <f t="shared" si="144"/>
        <v>-</v>
      </c>
      <c r="AG25" s="673" t="str">
        <f t="shared" si="144"/>
        <v>-</v>
      </c>
      <c r="AH25" s="674" t="str">
        <f t="shared" si="144"/>
        <v>-</v>
      </c>
      <c r="AI25" s="669">
        <f t="shared" si="86"/>
        <v>0.61224489795918369</v>
      </c>
      <c r="AJ25" s="670">
        <f t="shared" si="87"/>
        <v>0.61224489795918369</v>
      </c>
      <c r="AK25" s="670">
        <f t="shared" si="88"/>
        <v>0.61224489795918369</v>
      </c>
      <c r="AL25" s="670">
        <f t="shared" si="89"/>
        <v>0.61224489795918369</v>
      </c>
      <c r="AM25" s="670">
        <f t="shared" si="90"/>
        <v>0.61224489795918369</v>
      </c>
      <c r="AN25" s="673" t="str">
        <f t="shared" si="91"/>
        <v>-</v>
      </c>
      <c r="AO25" s="673" t="str">
        <f t="shared" si="92"/>
        <v>-</v>
      </c>
      <c r="AP25" s="673" t="str">
        <f t="shared" si="93"/>
        <v>-</v>
      </c>
      <c r="AQ25" s="673" t="str">
        <f t="shared" si="94"/>
        <v>-</v>
      </c>
      <c r="AR25" s="673" t="str">
        <f t="shared" si="95"/>
        <v>-</v>
      </c>
      <c r="AS25" s="670" t="str">
        <f t="shared" si="96"/>
        <v>-</v>
      </c>
      <c r="AT25" s="670" t="str">
        <f t="shared" si="97"/>
        <v>-</v>
      </c>
      <c r="AU25" s="670" t="str">
        <f t="shared" si="98"/>
        <v>-</v>
      </c>
      <c r="AV25" s="670" t="str">
        <f t="shared" si="99"/>
        <v>-</v>
      </c>
      <c r="AW25" s="673" t="str">
        <f t="shared" si="100"/>
        <v>-</v>
      </c>
      <c r="AX25" s="673" t="str">
        <f t="shared" si="101"/>
        <v>-</v>
      </c>
      <c r="AY25" s="673" t="str">
        <f t="shared" si="102"/>
        <v>-</v>
      </c>
      <c r="AZ25" s="673" t="str">
        <f t="shared" si="103"/>
        <v>-</v>
      </c>
      <c r="BA25" s="673" t="str">
        <f t="shared" si="104"/>
        <v>-</v>
      </c>
      <c r="BB25" s="673" t="str">
        <f t="shared" si="105"/>
        <v>-</v>
      </c>
      <c r="BC25" s="674" t="str">
        <f t="shared" si="106"/>
        <v>-</v>
      </c>
      <c r="BD25">
        <f t="shared" si="145"/>
        <v>9</v>
      </c>
      <c r="BE25">
        <f t="shared" si="145"/>
        <v>9</v>
      </c>
      <c r="BF25">
        <f t="shared" si="145"/>
        <v>9</v>
      </c>
      <c r="BG25">
        <f t="shared" si="145"/>
        <v>9</v>
      </c>
      <c r="BH25">
        <f t="shared" si="145"/>
        <v>9</v>
      </c>
      <c r="BI25">
        <f t="shared" si="145"/>
        <v>9</v>
      </c>
      <c r="BJ25">
        <f t="shared" si="145"/>
        <v>9</v>
      </c>
      <c r="BK25">
        <f t="shared" si="145"/>
        <v>9</v>
      </c>
      <c r="BL25">
        <f t="shared" si="145"/>
        <v>9</v>
      </c>
      <c r="BM25">
        <f t="shared" si="145"/>
        <v>9</v>
      </c>
      <c r="BN25">
        <f t="shared" si="145"/>
        <v>9</v>
      </c>
      <c r="BO25">
        <f t="shared" si="145"/>
        <v>9</v>
      </c>
      <c r="BP25">
        <f t="shared" ref="BP25:BP56" si="150">BD25/$D25</f>
        <v>1.2857142857142858</v>
      </c>
      <c r="BQ25">
        <f t="shared" ref="BQ25:BQ56" si="151">BE25/$D25</f>
        <v>1.2857142857142858</v>
      </c>
      <c r="BR25">
        <f t="shared" ref="BR25:BR56" si="152">BF25/$D25</f>
        <v>1.2857142857142858</v>
      </c>
      <c r="BS25">
        <f t="shared" ref="BS25:BS56" si="153">BG25/$D25</f>
        <v>1.2857142857142858</v>
      </c>
      <c r="BT25">
        <f t="shared" ref="BT25:BT56" si="154">BH25/$D25</f>
        <v>1.2857142857142858</v>
      </c>
      <c r="BU25">
        <f t="shared" ref="BU25:BU56" si="155">BI25/$D25</f>
        <v>1.2857142857142858</v>
      </c>
      <c r="BV25">
        <f t="shared" ref="BV25:BV56" si="156">BJ25/$D25</f>
        <v>1.2857142857142858</v>
      </c>
      <c r="BW25">
        <f t="shared" ref="BW25:BW56" si="157">BK25/$D25</f>
        <v>1.2857142857142858</v>
      </c>
      <c r="BX25">
        <f t="shared" ref="BX25:BX56" si="158">BL25/$D25</f>
        <v>1.2857142857142858</v>
      </c>
      <c r="BY25">
        <f t="shared" ref="BY25:BY56" si="159">BM25/$D25</f>
        <v>1.2857142857142858</v>
      </c>
      <c r="BZ25">
        <f t="shared" ref="BZ25:BZ56" si="160">BN25/$D25</f>
        <v>1.2857142857142858</v>
      </c>
      <c r="CA25">
        <f t="shared" ref="CA25:CA56" si="161">BO25/$D25</f>
        <v>1.2857142857142858</v>
      </c>
    </row>
    <row r="26" spans="1:79" x14ac:dyDescent="0.25">
      <c r="A26" s="818"/>
      <c r="B26" s="689" t="s">
        <v>10</v>
      </c>
      <c r="C26" s="690">
        <v>4</v>
      </c>
      <c r="D26" s="691">
        <v>7</v>
      </c>
      <c r="E26" s="692">
        <v>14</v>
      </c>
      <c r="F26" s="692">
        <v>220</v>
      </c>
      <c r="G26" s="737">
        <v>34</v>
      </c>
      <c r="H26" s="737">
        <v>1200</v>
      </c>
      <c r="I26" s="738">
        <v>0</v>
      </c>
      <c r="J26" s="738">
        <v>2.1</v>
      </c>
      <c r="K26" s="690"/>
      <c r="L26" s="693">
        <f t="shared" si="20"/>
        <v>16.19047619047619</v>
      </c>
      <c r="M26" s="694">
        <f t="shared" si="21"/>
        <v>2.3129251700680271</v>
      </c>
      <c r="N26" s="695">
        <f t="shared" si="143"/>
        <v>6.6666666666666661</v>
      </c>
      <c r="O26" s="696">
        <f t="shared" si="143"/>
        <v>6.6666666666666661</v>
      </c>
      <c r="P26" s="696">
        <f t="shared" si="143"/>
        <v>6.6666666666666661</v>
      </c>
      <c r="Q26" s="696">
        <f t="shared" si="143"/>
        <v>6.6666666666666661</v>
      </c>
      <c r="R26" s="696">
        <f t="shared" si="143"/>
        <v>6.6666666666666661</v>
      </c>
      <c r="S26" s="697" t="str">
        <f t="shared" si="143"/>
        <v>-</v>
      </c>
      <c r="T26" s="697" t="str">
        <f t="shared" si="143"/>
        <v>-</v>
      </c>
      <c r="U26" s="697" t="str">
        <f t="shared" si="143"/>
        <v>-</v>
      </c>
      <c r="V26" s="697" t="str">
        <f t="shared" si="143"/>
        <v>-</v>
      </c>
      <c r="W26" s="697" t="str">
        <f t="shared" si="143"/>
        <v>-</v>
      </c>
      <c r="X26" s="697" t="str">
        <f t="shared" si="144"/>
        <v>-</v>
      </c>
      <c r="Y26" s="698" t="str">
        <f t="shared" si="144"/>
        <v>-</v>
      </c>
      <c r="Z26" s="696" t="str">
        <f t="shared" si="144"/>
        <v>-</v>
      </c>
      <c r="AA26" s="696" t="str">
        <f t="shared" si="144"/>
        <v>-</v>
      </c>
      <c r="AB26" s="696" t="str">
        <f t="shared" si="144"/>
        <v>-</v>
      </c>
      <c r="AC26" s="696" t="str">
        <f t="shared" si="144"/>
        <v>-</v>
      </c>
      <c r="AD26" s="696" t="str">
        <f t="shared" si="144"/>
        <v>-</v>
      </c>
      <c r="AE26" s="697" t="str">
        <f t="shared" si="144"/>
        <v>-</v>
      </c>
      <c r="AF26" s="697" t="str">
        <f t="shared" si="144"/>
        <v>-</v>
      </c>
      <c r="AG26" s="697" t="str">
        <f t="shared" si="144"/>
        <v>-</v>
      </c>
      <c r="AH26" s="699" t="str">
        <f t="shared" si="144"/>
        <v>-</v>
      </c>
      <c r="AI26" s="695">
        <f t="shared" si="86"/>
        <v>0.95238095238095233</v>
      </c>
      <c r="AJ26" s="696">
        <f t="shared" si="87"/>
        <v>0.95238095238095233</v>
      </c>
      <c r="AK26" s="696">
        <f t="shared" si="88"/>
        <v>0.95238095238095233</v>
      </c>
      <c r="AL26" s="696">
        <f t="shared" si="89"/>
        <v>0.95238095238095233</v>
      </c>
      <c r="AM26" s="696">
        <f t="shared" si="90"/>
        <v>0.95238095238095233</v>
      </c>
      <c r="AN26" s="697" t="str">
        <f t="shared" si="91"/>
        <v>-</v>
      </c>
      <c r="AO26" s="697" t="str">
        <f t="shared" si="92"/>
        <v>-</v>
      </c>
      <c r="AP26" s="697" t="str">
        <f t="shared" si="93"/>
        <v>-</v>
      </c>
      <c r="AQ26" s="697" t="str">
        <f t="shared" si="94"/>
        <v>-</v>
      </c>
      <c r="AR26" s="697" t="str">
        <f t="shared" si="95"/>
        <v>-</v>
      </c>
      <c r="AS26" s="696" t="str">
        <f t="shared" si="96"/>
        <v>-</v>
      </c>
      <c r="AT26" s="696" t="str">
        <f t="shared" si="97"/>
        <v>-</v>
      </c>
      <c r="AU26" s="696" t="str">
        <f t="shared" si="98"/>
        <v>-</v>
      </c>
      <c r="AV26" s="696" t="str">
        <f t="shared" si="99"/>
        <v>-</v>
      </c>
      <c r="AW26" s="697" t="str">
        <f t="shared" si="100"/>
        <v>-</v>
      </c>
      <c r="AX26" s="697" t="str">
        <f t="shared" si="101"/>
        <v>-</v>
      </c>
      <c r="AY26" s="697" t="str">
        <f t="shared" si="102"/>
        <v>-</v>
      </c>
      <c r="AZ26" s="697" t="str">
        <f t="shared" si="103"/>
        <v>-</v>
      </c>
      <c r="BA26" s="697" t="str">
        <f t="shared" si="104"/>
        <v>-</v>
      </c>
      <c r="BB26" s="697" t="str">
        <f t="shared" si="105"/>
        <v>-</v>
      </c>
      <c r="BC26" s="699" t="str">
        <f t="shared" si="106"/>
        <v>-</v>
      </c>
      <c r="BD26">
        <f t="shared" si="145"/>
        <v>14</v>
      </c>
      <c r="BE26">
        <f t="shared" si="145"/>
        <v>14</v>
      </c>
      <c r="BF26">
        <f t="shared" si="145"/>
        <v>14</v>
      </c>
      <c r="BG26">
        <f t="shared" si="145"/>
        <v>14</v>
      </c>
      <c r="BH26">
        <f t="shared" si="145"/>
        <v>14</v>
      </c>
      <c r="BI26">
        <f t="shared" si="145"/>
        <v>14</v>
      </c>
      <c r="BJ26">
        <f t="shared" si="145"/>
        <v>14</v>
      </c>
      <c r="BK26">
        <f t="shared" si="145"/>
        <v>14</v>
      </c>
      <c r="BL26">
        <f t="shared" si="145"/>
        <v>14</v>
      </c>
      <c r="BM26">
        <f t="shared" si="145"/>
        <v>14</v>
      </c>
      <c r="BN26">
        <f t="shared" si="145"/>
        <v>14</v>
      </c>
      <c r="BO26">
        <f t="shared" si="145"/>
        <v>14</v>
      </c>
      <c r="BP26">
        <f t="shared" si="150"/>
        <v>2</v>
      </c>
      <c r="BQ26">
        <f t="shared" si="151"/>
        <v>2</v>
      </c>
      <c r="BR26">
        <f t="shared" si="152"/>
        <v>2</v>
      </c>
      <c r="BS26">
        <f t="shared" si="153"/>
        <v>2</v>
      </c>
      <c r="BT26">
        <f t="shared" si="154"/>
        <v>2</v>
      </c>
      <c r="BU26">
        <f t="shared" si="155"/>
        <v>2</v>
      </c>
      <c r="BV26">
        <f t="shared" si="156"/>
        <v>2</v>
      </c>
      <c r="BW26">
        <f t="shared" si="157"/>
        <v>2</v>
      </c>
      <c r="BX26">
        <f t="shared" si="158"/>
        <v>2</v>
      </c>
      <c r="BY26">
        <f t="shared" si="159"/>
        <v>2</v>
      </c>
      <c r="BZ26">
        <f t="shared" si="160"/>
        <v>2</v>
      </c>
      <c r="CA26">
        <f t="shared" si="161"/>
        <v>2</v>
      </c>
    </row>
    <row r="27" spans="1:79" ht="15.75" thickBot="1" x14ac:dyDescent="0.3">
      <c r="A27" s="819"/>
      <c r="B27" s="700" t="s">
        <v>11</v>
      </c>
      <c r="C27" s="701">
        <v>6</v>
      </c>
      <c r="D27" s="702">
        <v>7</v>
      </c>
      <c r="E27" s="703">
        <v>19</v>
      </c>
      <c r="F27" s="703">
        <v>280</v>
      </c>
      <c r="G27" s="741">
        <v>36</v>
      </c>
      <c r="H27" s="741">
        <v>1200</v>
      </c>
      <c r="I27" s="742">
        <v>0</v>
      </c>
      <c r="J27" s="742">
        <v>2.1</v>
      </c>
      <c r="K27" s="701"/>
      <c r="L27" s="704">
        <f t="shared" si="20"/>
        <v>17.142857142857142</v>
      </c>
      <c r="M27" s="705">
        <f t="shared" si="21"/>
        <v>2.4489795918367347</v>
      </c>
      <c r="N27" s="706">
        <f t="shared" si="143"/>
        <v>9.0476190476190474</v>
      </c>
      <c r="O27" s="707">
        <f t="shared" si="143"/>
        <v>9.0476190476190474</v>
      </c>
      <c r="P27" s="707">
        <f t="shared" si="143"/>
        <v>9.0476190476190474</v>
      </c>
      <c r="Q27" s="707">
        <f t="shared" si="143"/>
        <v>9.0476190476190474</v>
      </c>
      <c r="R27" s="707">
        <f t="shared" si="143"/>
        <v>9.0476190476190474</v>
      </c>
      <c r="S27" s="707">
        <f t="shared" si="143"/>
        <v>9.0476190476190474</v>
      </c>
      <c r="T27" s="708" t="str">
        <f t="shared" si="143"/>
        <v>-</v>
      </c>
      <c r="U27" s="708" t="str">
        <f t="shared" si="143"/>
        <v>-</v>
      </c>
      <c r="V27" s="708" t="str">
        <f t="shared" si="143"/>
        <v>-</v>
      </c>
      <c r="W27" s="708" t="str">
        <f t="shared" si="143"/>
        <v>-</v>
      </c>
      <c r="X27" s="708" t="str">
        <f t="shared" si="144"/>
        <v>-</v>
      </c>
      <c r="Y27" s="709" t="str">
        <f t="shared" si="144"/>
        <v>-</v>
      </c>
      <c r="Z27" s="707" t="str">
        <f t="shared" si="144"/>
        <v>-</v>
      </c>
      <c r="AA27" s="707" t="str">
        <f t="shared" si="144"/>
        <v>-</v>
      </c>
      <c r="AB27" s="707" t="str">
        <f t="shared" si="144"/>
        <v>-</v>
      </c>
      <c r="AC27" s="707" t="str">
        <f t="shared" si="144"/>
        <v>-</v>
      </c>
      <c r="AD27" s="707" t="str">
        <f t="shared" si="144"/>
        <v>-</v>
      </c>
      <c r="AE27" s="707" t="str">
        <f t="shared" si="144"/>
        <v>-</v>
      </c>
      <c r="AF27" s="708" t="str">
        <f t="shared" si="144"/>
        <v>-</v>
      </c>
      <c r="AG27" s="708" t="str">
        <f t="shared" si="144"/>
        <v>-</v>
      </c>
      <c r="AH27" s="710" t="str">
        <f t="shared" si="144"/>
        <v>-</v>
      </c>
      <c r="AI27" s="706">
        <f t="shared" si="86"/>
        <v>1.292517006802721</v>
      </c>
      <c r="AJ27" s="707">
        <f t="shared" si="87"/>
        <v>1.292517006802721</v>
      </c>
      <c r="AK27" s="707">
        <f t="shared" si="88"/>
        <v>1.292517006802721</v>
      </c>
      <c r="AL27" s="707">
        <f t="shared" si="89"/>
        <v>1.292517006802721</v>
      </c>
      <c r="AM27" s="707">
        <f t="shared" si="90"/>
        <v>1.292517006802721</v>
      </c>
      <c r="AN27" s="707">
        <f t="shared" si="91"/>
        <v>1.292517006802721</v>
      </c>
      <c r="AO27" s="708" t="str">
        <f t="shared" si="92"/>
        <v>-</v>
      </c>
      <c r="AP27" s="708" t="str">
        <f t="shared" si="93"/>
        <v>-</v>
      </c>
      <c r="AQ27" s="708" t="str">
        <f t="shared" si="94"/>
        <v>-</v>
      </c>
      <c r="AR27" s="708" t="str">
        <f t="shared" si="95"/>
        <v>-</v>
      </c>
      <c r="AS27" s="707" t="str">
        <f t="shared" si="96"/>
        <v>-</v>
      </c>
      <c r="AT27" s="707" t="str">
        <f t="shared" si="97"/>
        <v>-</v>
      </c>
      <c r="AU27" s="707" t="str">
        <f t="shared" si="98"/>
        <v>-</v>
      </c>
      <c r="AV27" s="707" t="str">
        <f t="shared" si="99"/>
        <v>-</v>
      </c>
      <c r="AW27" s="707" t="str">
        <f t="shared" si="100"/>
        <v>-</v>
      </c>
      <c r="AX27" s="708" t="str">
        <f t="shared" si="101"/>
        <v>-</v>
      </c>
      <c r="AY27" s="708" t="str">
        <f t="shared" si="102"/>
        <v>-</v>
      </c>
      <c r="AZ27" s="708" t="str">
        <f t="shared" si="103"/>
        <v>-</v>
      </c>
      <c r="BA27" s="708" t="str">
        <f t="shared" si="104"/>
        <v>-</v>
      </c>
      <c r="BB27" s="708" t="str">
        <f t="shared" si="105"/>
        <v>-</v>
      </c>
      <c r="BC27" s="710" t="str">
        <f t="shared" si="106"/>
        <v>-</v>
      </c>
      <c r="BD27">
        <f t="shared" si="145"/>
        <v>19</v>
      </c>
      <c r="BE27">
        <f t="shared" si="145"/>
        <v>19</v>
      </c>
      <c r="BF27">
        <f t="shared" si="145"/>
        <v>19</v>
      </c>
      <c r="BG27">
        <f t="shared" si="145"/>
        <v>19</v>
      </c>
      <c r="BH27">
        <f t="shared" si="145"/>
        <v>19</v>
      </c>
      <c r="BI27">
        <f t="shared" si="145"/>
        <v>19</v>
      </c>
      <c r="BJ27">
        <f t="shared" si="145"/>
        <v>19</v>
      </c>
      <c r="BK27">
        <f t="shared" si="145"/>
        <v>19</v>
      </c>
      <c r="BL27">
        <f t="shared" si="145"/>
        <v>19</v>
      </c>
      <c r="BM27">
        <f t="shared" si="145"/>
        <v>19</v>
      </c>
      <c r="BN27">
        <f t="shared" si="145"/>
        <v>19</v>
      </c>
      <c r="BO27">
        <f t="shared" si="145"/>
        <v>19</v>
      </c>
      <c r="BP27">
        <f t="shared" si="150"/>
        <v>2.7142857142857144</v>
      </c>
      <c r="BQ27">
        <f t="shared" si="151"/>
        <v>2.7142857142857144</v>
      </c>
      <c r="BR27">
        <f t="shared" si="152"/>
        <v>2.7142857142857144</v>
      </c>
      <c r="BS27">
        <f t="shared" si="153"/>
        <v>2.7142857142857144</v>
      </c>
      <c r="BT27">
        <f t="shared" si="154"/>
        <v>2.7142857142857144</v>
      </c>
      <c r="BU27">
        <f t="shared" si="155"/>
        <v>2.7142857142857144</v>
      </c>
      <c r="BV27">
        <f t="shared" si="156"/>
        <v>2.7142857142857144</v>
      </c>
      <c r="BW27">
        <f t="shared" si="157"/>
        <v>2.7142857142857144</v>
      </c>
      <c r="BX27">
        <f t="shared" si="158"/>
        <v>2.7142857142857144</v>
      </c>
      <c r="BY27">
        <f t="shared" si="159"/>
        <v>2.7142857142857144</v>
      </c>
      <c r="BZ27">
        <f t="shared" si="160"/>
        <v>2.7142857142857144</v>
      </c>
      <c r="CA27">
        <f t="shared" si="161"/>
        <v>2.7142857142857144</v>
      </c>
    </row>
    <row r="28" spans="1:79" x14ac:dyDescent="0.25">
      <c r="A28" s="817" t="s">
        <v>17</v>
      </c>
      <c r="B28" s="666" t="s">
        <v>9</v>
      </c>
      <c r="C28" s="663">
        <v>4</v>
      </c>
      <c r="D28" s="718">
        <v>7</v>
      </c>
      <c r="E28" s="665">
        <v>24</v>
      </c>
      <c r="F28" s="665">
        <v>300</v>
      </c>
      <c r="G28" s="665">
        <v>50</v>
      </c>
      <c r="H28" s="665">
        <v>1200</v>
      </c>
      <c r="I28" s="666">
        <v>0</v>
      </c>
      <c r="J28" s="734">
        <v>4</v>
      </c>
      <c r="K28" s="663"/>
      <c r="L28" s="667">
        <f t="shared" si="20"/>
        <v>12.5</v>
      </c>
      <c r="M28" s="668">
        <f t="shared" si="21"/>
        <v>1.7857142857142858</v>
      </c>
      <c r="N28" s="669">
        <f t="shared" si="143"/>
        <v>6</v>
      </c>
      <c r="O28" s="670">
        <f t="shared" si="143"/>
        <v>6</v>
      </c>
      <c r="P28" s="670">
        <f t="shared" si="143"/>
        <v>6</v>
      </c>
      <c r="Q28" s="670">
        <f t="shared" si="143"/>
        <v>6</v>
      </c>
      <c r="R28" s="670">
        <f t="shared" si="143"/>
        <v>6</v>
      </c>
      <c r="S28" s="670">
        <f t="shared" si="143"/>
        <v>6</v>
      </c>
      <c r="T28" s="670">
        <f t="shared" si="143"/>
        <v>6</v>
      </c>
      <c r="U28" s="673" t="str">
        <f t="shared" si="143"/>
        <v>-</v>
      </c>
      <c r="V28" s="673" t="str">
        <f t="shared" si="143"/>
        <v>-</v>
      </c>
      <c r="W28" s="673" t="str">
        <f t="shared" si="143"/>
        <v>-</v>
      </c>
      <c r="X28" s="673" t="str">
        <f t="shared" si="144"/>
        <v>-</v>
      </c>
      <c r="Y28" s="688" t="str">
        <f t="shared" si="144"/>
        <v>-</v>
      </c>
      <c r="Z28" s="670" t="str">
        <f t="shared" si="144"/>
        <v>-</v>
      </c>
      <c r="AA28" s="670" t="str">
        <f t="shared" si="144"/>
        <v>-</v>
      </c>
      <c r="AB28" s="670" t="str">
        <f t="shared" si="144"/>
        <v>-</v>
      </c>
      <c r="AC28" s="670" t="str">
        <f t="shared" si="144"/>
        <v>-</v>
      </c>
      <c r="AD28" s="670" t="str">
        <f t="shared" si="144"/>
        <v>-</v>
      </c>
      <c r="AE28" s="670" t="str">
        <f t="shared" si="144"/>
        <v>-</v>
      </c>
      <c r="AF28" s="670" t="str">
        <f t="shared" si="144"/>
        <v>-</v>
      </c>
      <c r="AG28" s="673" t="str">
        <f t="shared" si="144"/>
        <v>-</v>
      </c>
      <c r="AH28" s="688" t="str">
        <f t="shared" si="144"/>
        <v>-</v>
      </c>
      <c r="AI28" s="669">
        <f t="shared" si="86"/>
        <v>0.8571428571428571</v>
      </c>
      <c r="AJ28" s="670">
        <f t="shared" si="87"/>
        <v>0.8571428571428571</v>
      </c>
      <c r="AK28" s="670">
        <f t="shared" si="88"/>
        <v>0.8571428571428571</v>
      </c>
      <c r="AL28" s="670">
        <f t="shared" si="89"/>
        <v>0.8571428571428571</v>
      </c>
      <c r="AM28" s="670">
        <f t="shared" si="90"/>
        <v>0.8571428571428571</v>
      </c>
      <c r="AN28" s="670">
        <f t="shared" si="91"/>
        <v>0.8571428571428571</v>
      </c>
      <c r="AO28" s="670">
        <f t="shared" si="92"/>
        <v>0.8571428571428571</v>
      </c>
      <c r="AP28" s="673" t="str">
        <f t="shared" si="93"/>
        <v>-</v>
      </c>
      <c r="AQ28" s="673" t="str">
        <f t="shared" si="94"/>
        <v>-</v>
      </c>
      <c r="AR28" s="673" t="str">
        <f t="shared" si="95"/>
        <v>-</v>
      </c>
      <c r="AS28" s="670" t="str">
        <f t="shared" si="96"/>
        <v>-</v>
      </c>
      <c r="AT28" s="670" t="str">
        <f t="shared" si="97"/>
        <v>-</v>
      </c>
      <c r="AU28" s="670" t="str">
        <f t="shared" si="98"/>
        <v>-</v>
      </c>
      <c r="AV28" s="670" t="str">
        <f t="shared" si="99"/>
        <v>-</v>
      </c>
      <c r="AW28" s="670" t="str">
        <f t="shared" si="100"/>
        <v>-</v>
      </c>
      <c r="AX28" s="670" t="str">
        <f t="shared" si="101"/>
        <v>-</v>
      </c>
      <c r="AY28" s="673" t="str">
        <f t="shared" si="102"/>
        <v>-</v>
      </c>
      <c r="AZ28" s="673" t="str">
        <f t="shared" si="103"/>
        <v>-</v>
      </c>
      <c r="BA28" s="673" t="str">
        <f t="shared" si="104"/>
        <v>-</v>
      </c>
      <c r="BB28" s="673" t="str">
        <f t="shared" si="105"/>
        <v>-</v>
      </c>
      <c r="BC28" s="674" t="str">
        <f t="shared" si="106"/>
        <v>-</v>
      </c>
      <c r="BD28">
        <f t="shared" si="145"/>
        <v>24</v>
      </c>
      <c r="BE28">
        <f t="shared" si="145"/>
        <v>24</v>
      </c>
      <c r="BF28">
        <f t="shared" si="145"/>
        <v>24</v>
      </c>
      <c r="BG28">
        <f t="shared" si="145"/>
        <v>24</v>
      </c>
      <c r="BH28">
        <f t="shared" si="145"/>
        <v>24</v>
      </c>
      <c r="BI28">
        <f t="shared" si="145"/>
        <v>24</v>
      </c>
      <c r="BJ28">
        <f t="shared" si="145"/>
        <v>24</v>
      </c>
      <c r="BK28">
        <f t="shared" si="145"/>
        <v>24</v>
      </c>
      <c r="BL28">
        <f t="shared" si="145"/>
        <v>24</v>
      </c>
      <c r="BM28">
        <f t="shared" si="145"/>
        <v>24</v>
      </c>
      <c r="BN28">
        <f t="shared" si="145"/>
        <v>24</v>
      </c>
      <c r="BO28">
        <f t="shared" si="145"/>
        <v>24</v>
      </c>
      <c r="BP28">
        <f t="shared" si="150"/>
        <v>3.4285714285714284</v>
      </c>
      <c r="BQ28">
        <f t="shared" si="151"/>
        <v>3.4285714285714284</v>
      </c>
      <c r="BR28">
        <f t="shared" si="152"/>
        <v>3.4285714285714284</v>
      </c>
      <c r="BS28">
        <f t="shared" si="153"/>
        <v>3.4285714285714284</v>
      </c>
      <c r="BT28">
        <f t="shared" si="154"/>
        <v>3.4285714285714284</v>
      </c>
      <c r="BU28">
        <f t="shared" si="155"/>
        <v>3.4285714285714284</v>
      </c>
      <c r="BV28">
        <f t="shared" si="156"/>
        <v>3.4285714285714284</v>
      </c>
      <c r="BW28">
        <f t="shared" si="157"/>
        <v>3.4285714285714284</v>
      </c>
      <c r="BX28">
        <f t="shared" si="158"/>
        <v>3.4285714285714284</v>
      </c>
      <c r="BY28">
        <f t="shared" si="159"/>
        <v>3.4285714285714284</v>
      </c>
      <c r="BZ28">
        <f t="shared" si="160"/>
        <v>3.4285714285714284</v>
      </c>
      <c r="CA28">
        <f t="shared" si="161"/>
        <v>3.4285714285714284</v>
      </c>
    </row>
    <row r="29" spans="1:79" x14ac:dyDescent="0.25">
      <c r="A29" s="818"/>
      <c r="B29" s="689" t="s">
        <v>10</v>
      </c>
      <c r="C29" s="690">
        <v>6</v>
      </c>
      <c r="D29" s="719">
        <v>7</v>
      </c>
      <c r="E29" s="692">
        <v>30</v>
      </c>
      <c r="F29" s="692">
        <v>400</v>
      </c>
      <c r="G29" s="692">
        <v>54</v>
      </c>
      <c r="H29" s="692">
        <v>1200</v>
      </c>
      <c r="I29" s="689">
        <v>0</v>
      </c>
      <c r="J29" s="738">
        <v>4</v>
      </c>
      <c r="K29" s="690"/>
      <c r="L29" s="693">
        <f t="shared" si="20"/>
        <v>13.5</v>
      </c>
      <c r="M29" s="694">
        <f t="shared" si="21"/>
        <v>1.9285714285714286</v>
      </c>
      <c r="N29" s="695">
        <f t="shared" si="143"/>
        <v>7.5</v>
      </c>
      <c r="O29" s="696">
        <f t="shared" si="143"/>
        <v>7.5</v>
      </c>
      <c r="P29" s="696">
        <f t="shared" si="143"/>
        <v>7.5</v>
      </c>
      <c r="Q29" s="696">
        <f t="shared" si="143"/>
        <v>7.5</v>
      </c>
      <c r="R29" s="696">
        <f t="shared" si="143"/>
        <v>7.5</v>
      </c>
      <c r="S29" s="696">
        <f t="shared" si="143"/>
        <v>7.5</v>
      </c>
      <c r="T29" s="696">
        <f t="shared" si="143"/>
        <v>7.5</v>
      </c>
      <c r="U29" s="696">
        <f t="shared" si="143"/>
        <v>7.5</v>
      </c>
      <c r="V29" s="696">
        <f t="shared" si="143"/>
        <v>7.5</v>
      </c>
      <c r="W29" s="697" t="str">
        <f t="shared" si="143"/>
        <v>-</v>
      </c>
      <c r="X29" s="697" t="str">
        <f t="shared" si="144"/>
        <v>-</v>
      </c>
      <c r="Y29" s="698" t="str">
        <f t="shared" si="144"/>
        <v>-</v>
      </c>
      <c r="Z29" s="696" t="str">
        <f t="shared" si="144"/>
        <v>-</v>
      </c>
      <c r="AA29" s="696" t="str">
        <f t="shared" si="144"/>
        <v>-</v>
      </c>
      <c r="AB29" s="696" t="str">
        <f t="shared" si="144"/>
        <v>-</v>
      </c>
      <c r="AC29" s="696" t="str">
        <f t="shared" si="144"/>
        <v>-</v>
      </c>
      <c r="AD29" s="696" t="str">
        <f t="shared" si="144"/>
        <v>-</v>
      </c>
      <c r="AE29" s="696" t="str">
        <f t="shared" si="144"/>
        <v>-</v>
      </c>
      <c r="AF29" s="696" t="str">
        <f t="shared" si="144"/>
        <v>-</v>
      </c>
      <c r="AG29" s="696" t="str">
        <f t="shared" si="144"/>
        <v>-</v>
      </c>
      <c r="AH29" s="711" t="str">
        <f t="shared" si="144"/>
        <v>-</v>
      </c>
      <c r="AI29" s="695">
        <f t="shared" si="86"/>
        <v>1.0714285714285714</v>
      </c>
      <c r="AJ29" s="696">
        <f t="shared" si="87"/>
        <v>1.0714285714285714</v>
      </c>
      <c r="AK29" s="696">
        <f t="shared" si="88"/>
        <v>1.0714285714285714</v>
      </c>
      <c r="AL29" s="696">
        <f t="shared" si="89"/>
        <v>1.0714285714285714</v>
      </c>
      <c r="AM29" s="696">
        <f t="shared" si="90"/>
        <v>1.0714285714285714</v>
      </c>
      <c r="AN29" s="696">
        <f t="shared" si="91"/>
        <v>1.0714285714285714</v>
      </c>
      <c r="AO29" s="696">
        <f t="shared" si="92"/>
        <v>1.0714285714285714</v>
      </c>
      <c r="AP29" s="696">
        <f t="shared" si="93"/>
        <v>1.0714285714285714</v>
      </c>
      <c r="AQ29" s="696">
        <f t="shared" si="94"/>
        <v>1.0714285714285714</v>
      </c>
      <c r="AR29" s="697" t="str">
        <f t="shared" si="95"/>
        <v>-</v>
      </c>
      <c r="AS29" s="696" t="str">
        <f t="shared" si="96"/>
        <v>-</v>
      </c>
      <c r="AT29" s="696" t="str">
        <f t="shared" si="97"/>
        <v>-</v>
      </c>
      <c r="AU29" s="696" t="str">
        <f t="shared" si="98"/>
        <v>-</v>
      </c>
      <c r="AV29" s="696" t="str">
        <f t="shared" si="99"/>
        <v>-</v>
      </c>
      <c r="AW29" s="696" t="str">
        <f t="shared" si="100"/>
        <v>-</v>
      </c>
      <c r="AX29" s="696" t="str">
        <f t="shared" si="101"/>
        <v>-</v>
      </c>
      <c r="AY29" s="696" t="str">
        <f t="shared" si="102"/>
        <v>-</v>
      </c>
      <c r="AZ29" s="696" t="str">
        <f t="shared" si="103"/>
        <v>-</v>
      </c>
      <c r="BA29" s="697" t="str">
        <f t="shared" si="104"/>
        <v>-</v>
      </c>
      <c r="BB29" s="697" t="str">
        <f t="shared" si="105"/>
        <v>-</v>
      </c>
      <c r="BC29" s="699" t="str">
        <f t="shared" si="106"/>
        <v>-</v>
      </c>
      <c r="BD29">
        <f t="shared" si="145"/>
        <v>30</v>
      </c>
      <c r="BE29">
        <f t="shared" si="145"/>
        <v>30</v>
      </c>
      <c r="BF29">
        <f t="shared" si="145"/>
        <v>30</v>
      </c>
      <c r="BG29">
        <f t="shared" si="145"/>
        <v>30</v>
      </c>
      <c r="BH29">
        <f t="shared" si="145"/>
        <v>30</v>
      </c>
      <c r="BI29">
        <f t="shared" si="145"/>
        <v>30</v>
      </c>
      <c r="BJ29">
        <f t="shared" si="145"/>
        <v>30</v>
      </c>
      <c r="BK29">
        <f t="shared" si="145"/>
        <v>30</v>
      </c>
      <c r="BL29">
        <f t="shared" si="145"/>
        <v>30</v>
      </c>
      <c r="BM29">
        <f t="shared" si="145"/>
        <v>30</v>
      </c>
      <c r="BN29">
        <f t="shared" si="145"/>
        <v>30</v>
      </c>
      <c r="BO29">
        <f t="shared" si="145"/>
        <v>30</v>
      </c>
      <c r="BP29">
        <f t="shared" si="150"/>
        <v>4.2857142857142856</v>
      </c>
      <c r="BQ29">
        <f t="shared" si="151"/>
        <v>4.2857142857142856</v>
      </c>
      <c r="BR29">
        <f t="shared" si="152"/>
        <v>4.2857142857142856</v>
      </c>
      <c r="BS29">
        <f t="shared" si="153"/>
        <v>4.2857142857142856</v>
      </c>
      <c r="BT29">
        <f t="shared" si="154"/>
        <v>4.2857142857142856</v>
      </c>
      <c r="BU29">
        <f t="shared" si="155"/>
        <v>4.2857142857142856</v>
      </c>
      <c r="BV29">
        <f t="shared" si="156"/>
        <v>4.2857142857142856</v>
      </c>
      <c r="BW29">
        <f t="shared" si="157"/>
        <v>4.2857142857142856</v>
      </c>
      <c r="BX29">
        <f t="shared" si="158"/>
        <v>4.2857142857142856</v>
      </c>
      <c r="BY29">
        <f t="shared" si="159"/>
        <v>4.2857142857142856</v>
      </c>
      <c r="BZ29">
        <f t="shared" si="160"/>
        <v>4.2857142857142856</v>
      </c>
      <c r="CA29">
        <f t="shared" si="161"/>
        <v>4.2857142857142856</v>
      </c>
    </row>
    <row r="30" spans="1:79" ht="15.75" thickBot="1" x14ac:dyDescent="0.3">
      <c r="A30" s="819"/>
      <c r="B30" s="725" t="s">
        <v>11</v>
      </c>
      <c r="C30" s="726">
        <v>7</v>
      </c>
      <c r="D30" s="727">
        <v>7</v>
      </c>
      <c r="E30" s="728">
        <v>38</v>
      </c>
      <c r="F30" s="728">
        <v>500</v>
      </c>
      <c r="G30" s="728">
        <v>58</v>
      </c>
      <c r="H30" s="728">
        <v>1200</v>
      </c>
      <c r="I30" s="725">
        <v>0</v>
      </c>
      <c r="J30" s="788">
        <v>4</v>
      </c>
      <c r="K30" s="726"/>
      <c r="L30" s="729">
        <f t="shared" si="20"/>
        <v>14.5</v>
      </c>
      <c r="M30" s="730">
        <f t="shared" si="21"/>
        <v>2.0714285714285716</v>
      </c>
      <c r="N30" s="721">
        <f t="shared" si="143"/>
        <v>9.5</v>
      </c>
      <c r="O30" s="722">
        <f t="shared" si="143"/>
        <v>9.5</v>
      </c>
      <c r="P30" s="722">
        <f t="shared" si="143"/>
        <v>9.5</v>
      </c>
      <c r="Q30" s="722">
        <f t="shared" si="143"/>
        <v>9.5</v>
      </c>
      <c r="R30" s="722">
        <f t="shared" si="143"/>
        <v>9.5</v>
      </c>
      <c r="S30" s="722">
        <f t="shared" si="143"/>
        <v>9.5</v>
      </c>
      <c r="T30" s="722">
        <f t="shared" si="143"/>
        <v>9.5</v>
      </c>
      <c r="U30" s="722">
        <f t="shared" si="143"/>
        <v>9.5</v>
      </c>
      <c r="V30" s="722">
        <f t="shared" si="143"/>
        <v>9.5</v>
      </c>
      <c r="W30" s="722">
        <f t="shared" si="143"/>
        <v>9.5</v>
      </c>
      <c r="X30" s="722">
        <f t="shared" si="144"/>
        <v>9.5</v>
      </c>
      <c r="Y30" s="731" t="str">
        <f t="shared" si="144"/>
        <v>-</v>
      </c>
      <c r="Z30" s="722" t="str">
        <f t="shared" si="144"/>
        <v>-</v>
      </c>
      <c r="AA30" s="722" t="str">
        <f t="shared" si="144"/>
        <v>-</v>
      </c>
      <c r="AB30" s="722" t="str">
        <f t="shared" si="144"/>
        <v>-</v>
      </c>
      <c r="AC30" s="722" t="str">
        <f t="shared" si="144"/>
        <v>-</v>
      </c>
      <c r="AD30" s="722" t="str">
        <f t="shared" si="144"/>
        <v>-</v>
      </c>
      <c r="AE30" s="722" t="str">
        <f t="shared" si="144"/>
        <v>-</v>
      </c>
      <c r="AF30" s="722" t="str">
        <f t="shared" si="144"/>
        <v>-</v>
      </c>
      <c r="AG30" s="722" t="str">
        <f t="shared" si="144"/>
        <v>-</v>
      </c>
      <c r="AH30" s="723" t="str">
        <f t="shared" si="144"/>
        <v>-</v>
      </c>
      <c r="AI30" s="721">
        <f t="shared" si="86"/>
        <v>1.3571428571428572</v>
      </c>
      <c r="AJ30" s="722">
        <f t="shared" si="87"/>
        <v>1.3571428571428572</v>
      </c>
      <c r="AK30" s="722">
        <f t="shared" si="88"/>
        <v>1.3571428571428572</v>
      </c>
      <c r="AL30" s="722">
        <f t="shared" si="89"/>
        <v>1.3571428571428572</v>
      </c>
      <c r="AM30" s="722">
        <f t="shared" si="90"/>
        <v>1.3571428571428572</v>
      </c>
      <c r="AN30" s="722">
        <f t="shared" si="91"/>
        <v>1.3571428571428572</v>
      </c>
      <c r="AO30" s="722">
        <f t="shared" si="92"/>
        <v>1.3571428571428572</v>
      </c>
      <c r="AP30" s="722">
        <f t="shared" si="93"/>
        <v>1.3571428571428572</v>
      </c>
      <c r="AQ30" s="722">
        <f t="shared" si="94"/>
        <v>1.3571428571428572</v>
      </c>
      <c r="AR30" s="722">
        <f t="shared" si="95"/>
        <v>1.3571428571428572</v>
      </c>
      <c r="AS30" s="722">
        <f t="shared" si="96"/>
        <v>1.3571428571428572</v>
      </c>
      <c r="AT30" s="722" t="str">
        <f t="shared" si="97"/>
        <v>-</v>
      </c>
      <c r="AU30" s="722" t="str">
        <f t="shared" si="98"/>
        <v>-</v>
      </c>
      <c r="AV30" s="722" t="str">
        <f t="shared" si="99"/>
        <v>-</v>
      </c>
      <c r="AW30" s="722" t="str">
        <f t="shared" si="100"/>
        <v>-</v>
      </c>
      <c r="AX30" s="722" t="str">
        <f t="shared" si="101"/>
        <v>-</v>
      </c>
      <c r="AY30" s="722" t="str">
        <f t="shared" si="102"/>
        <v>-</v>
      </c>
      <c r="AZ30" s="722" t="str">
        <f t="shared" si="103"/>
        <v>-</v>
      </c>
      <c r="BA30" s="722" t="str">
        <f t="shared" si="104"/>
        <v>-</v>
      </c>
      <c r="BB30" s="722" t="str">
        <f t="shared" si="105"/>
        <v>-</v>
      </c>
      <c r="BC30" s="732" t="str">
        <f t="shared" si="106"/>
        <v>-</v>
      </c>
      <c r="BD30">
        <f t="shared" si="145"/>
        <v>38</v>
      </c>
      <c r="BE30">
        <f t="shared" si="145"/>
        <v>38</v>
      </c>
      <c r="BF30">
        <f t="shared" si="145"/>
        <v>38</v>
      </c>
      <c r="BG30">
        <f t="shared" si="145"/>
        <v>38</v>
      </c>
      <c r="BH30">
        <f t="shared" si="145"/>
        <v>38</v>
      </c>
      <c r="BI30">
        <f t="shared" si="145"/>
        <v>38</v>
      </c>
      <c r="BJ30">
        <f t="shared" si="145"/>
        <v>38</v>
      </c>
      <c r="BK30">
        <f t="shared" si="145"/>
        <v>38</v>
      </c>
      <c r="BL30">
        <f t="shared" si="145"/>
        <v>38</v>
      </c>
      <c r="BM30">
        <f t="shared" si="145"/>
        <v>38</v>
      </c>
      <c r="BN30">
        <f t="shared" si="145"/>
        <v>38</v>
      </c>
      <c r="BO30">
        <f t="shared" si="145"/>
        <v>38</v>
      </c>
      <c r="BP30">
        <f t="shared" si="150"/>
        <v>5.4285714285714288</v>
      </c>
      <c r="BQ30">
        <f t="shared" si="151"/>
        <v>5.4285714285714288</v>
      </c>
      <c r="BR30">
        <f t="shared" si="152"/>
        <v>5.4285714285714288</v>
      </c>
      <c r="BS30">
        <f t="shared" si="153"/>
        <v>5.4285714285714288</v>
      </c>
      <c r="BT30">
        <f t="shared" si="154"/>
        <v>5.4285714285714288</v>
      </c>
      <c r="BU30">
        <f t="shared" si="155"/>
        <v>5.4285714285714288</v>
      </c>
      <c r="BV30">
        <f t="shared" si="156"/>
        <v>5.4285714285714288</v>
      </c>
      <c r="BW30">
        <f t="shared" si="157"/>
        <v>5.4285714285714288</v>
      </c>
      <c r="BX30">
        <f t="shared" si="158"/>
        <v>5.4285714285714288</v>
      </c>
      <c r="BY30">
        <f t="shared" si="159"/>
        <v>5.4285714285714288</v>
      </c>
      <c r="BZ30">
        <f t="shared" si="160"/>
        <v>5.4285714285714288</v>
      </c>
      <c r="CA30">
        <f t="shared" si="161"/>
        <v>5.4285714285714288</v>
      </c>
    </row>
    <row r="31" spans="1:79" x14ac:dyDescent="0.25">
      <c r="A31" s="817" t="s">
        <v>202</v>
      </c>
      <c r="B31" s="666" t="s">
        <v>9</v>
      </c>
      <c r="C31" s="663">
        <v>5</v>
      </c>
      <c r="D31" s="664">
        <v>7</v>
      </c>
      <c r="E31" s="733">
        <v>27</v>
      </c>
      <c r="F31" s="733">
        <v>300</v>
      </c>
      <c r="G31" s="733">
        <v>60</v>
      </c>
      <c r="H31" s="733">
        <v>1200</v>
      </c>
      <c r="I31" s="734">
        <v>-2</v>
      </c>
      <c r="J31" s="734">
        <v>4</v>
      </c>
      <c r="K31" s="735"/>
      <c r="L31" s="736">
        <f t="shared" si="20"/>
        <v>15</v>
      </c>
      <c r="M31" s="668">
        <f t="shared" si="21"/>
        <v>2.1428571428571428</v>
      </c>
      <c r="N31" s="669">
        <f t="shared" si="143"/>
        <v>6.75</v>
      </c>
      <c r="O31" s="670">
        <f t="shared" si="143"/>
        <v>7</v>
      </c>
      <c r="P31" s="670">
        <f t="shared" si="143"/>
        <v>7.25</v>
      </c>
      <c r="Q31" s="670">
        <f t="shared" si="143"/>
        <v>7.5</v>
      </c>
      <c r="R31" s="670">
        <f t="shared" si="143"/>
        <v>7.75</v>
      </c>
      <c r="S31" s="670">
        <f t="shared" si="143"/>
        <v>8</v>
      </c>
      <c r="T31" s="670">
        <f t="shared" si="143"/>
        <v>8.25</v>
      </c>
      <c r="U31" s="673" t="str">
        <f t="shared" si="143"/>
        <v>-</v>
      </c>
      <c r="V31" s="673" t="str">
        <f t="shared" si="143"/>
        <v>-</v>
      </c>
      <c r="W31" s="673" t="str">
        <f t="shared" si="143"/>
        <v>-</v>
      </c>
      <c r="X31" s="673" t="str">
        <f t="shared" si="144"/>
        <v>-</v>
      </c>
      <c r="Y31" s="688" t="str">
        <f t="shared" si="144"/>
        <v>-</v>
      </c>
      <c r="Z31" s="670" t="str">
        <f t="shared" si="144"/>
        <v>-</v>
      </c>
      <c r="AA31" s="670" t="str">
        <f t="shared" si="144"/>
        <v>-</v>
      </c>
      <c r="AB31" s="670" t="str">
        <f t="shared" si="144"/>
        <v>-</v>
      </c>
      <c r="AC31" s="670" t="str">
        <f t="shared" si="144"/>
        <v>-</v>
      </c>
      <c r="AD31" s="670" t="str">
        <f t="shared" si="144"/>
        <v>-</v>
      </c>
      <c r="AE31" s="670" t="str">
        <f t="shared" si="144"/>
        <v>-</v>
      </c>
      <c r="AF31" s="670" t="str">
        <f t="shared" si="144"/>
        <v>-</v>
      </c>
      <c r="AG31" s="673" t="str">
        <f t="shared" si="144"/>
        <v>-</v>
      </c>
      <c r="AH31" s="688" t="str">
        <f t="shared" si="144"/>
        <v>-</v>
      </c>
      <c r="AI31" s="669">
        <f t="shared" ref="AI31:AI42" si="162">IF(N$2&lt;=$F31,N31/$D31,"-")</f>
        <v>0.9642857142857143</v>
      </c>
      <c r="AJ31" s="670">
        <f t="shared" si="87"/>
        <v>1</v>
      </c>
      <c r="AK31" s="670">
        <f t="shared" si="88"/>
        <v>1.0357142857142858</v>
      </c>
      <c r="AL31" s="670">
        <f t="shared" si="89"/>
        <v>1.0714285714285714</v>
      </c>
      <c r="AM31" s="670">
        <f t="shared" si="90"/>
        <v>1.1071428571428572</v>
      </c>
      <c r="AN31" s="670">
        <f t="shared" si="91"/>
        <v>1.1428571428571428</v>
      </c>
      <c r="AO31" s="670">
        <f t="shared" si="92"/>
        <v>1.1785714285714286</v>
      </c>
      <c r="AP31" s="673" t="str">
        <f t="shared" si="93"/>
        <v>-</v>
      </c>
      <c r="AQ31" s="673" t="str">
        <f t="shared" si="94"/>
        <v>-</v>
      </c>
      <c r="AR31" s="673" t="str">
        <f t="shared" si="95"/>
        <v>-</v>
      </c>
      <c r="AS31" s="670" t="str">
        <f t="shared" si="96"/>
        <v>-</v>
      </c>
      <c r="AT31" s="670" t="str">
        <f t="shared" si="97"/>
        <v>-</v>
      </c>
      <c r="AU31" s="670" t="str">
        <f t="shared" si="98"/>
        <v>-</v>
      </c>
      <c r="AV31" s="670" t="str">
        <f t="shared" si="99"/>
        <v>-</v>
      </c>
      <c r="AW31" s="670" t="str">
        <f t="shared" si="100"/>
        <v>-</v>
      </c>
      <c r="AX31" s="670" t="str">
        <f t="shared" si="101"/>
        <v>-</v>
      </c>
      <c r="AY31" s="673" t="str">
        <f t="shared" si="102"/>
        <v>-</v>
      </c>
      <c r="AZ31" s="673" t="str">
        <f t="shared" si="103"/>
        <v>-</v>
      </c>
      <c r="BA31" s="673" t="str">
        <f t="shared" si="104"/>
        <v>-</v>
      </c>
      <c r="BB31" s="673" t="str">
        <f t="shared" si="105"/>
        <v>-</v>
      </c>
      <c r="BC31" s="674" t="str">
        <f t="shared" si="106"/>
        <v>-</v>
      </c>
    </row>
    <row r="32" spans="1:79" x14ac:dyDescent="0.25">
      <c r="A32" s="818"/>
      <c r="B32" s="689" t="s">
        <v>10</v>
      </c>
      <c r="C32" s="690">
        <v>6</v>
      </c>
      <c r="D32" s="691">
        <v>7</v>
      </c>
      <c r="E32" s="737">
        <v>30</v>
      </c>
      <c r="F32" s="737">
        <v>400</v>
      </c>
      <c r="G32" s="737">
        <v>64</v>
      </c>
      <c r="H32" s="737">
        <v>1200</v>
      </c>
      <c r="I32" s="738">
        <v>-4</v>
      </c>
      <c r="J32" s="738">
        <v>4</v>
      </c>
      <c r="K32" s="739"/>
      <c r="L32" s="740">
        <f t="shared" si="20"/>
        <v>16</v>
      </c>
      <c r="M32" s="694">
        <f t="shared" si="21"/>
        <v>2.2857142857142856</v>
      </c>
      <c r="N32" s="695">
        <f t="shared" si="143"/>
        <v>7.5</v>
      </c>
      <c r="O32" s="696">
        <f t="shared" si="143"/>
        <v>8</v>
      </c>
      <c r="P32" s="696">
        <f t="shared" si="143"/>
        <v>8.5</v>
      </c>
      <c r="Q32" s="696">
        <f t="shared" si="143"/>
        <v>9</v>
      </c>
      <c r="R32" s="696">
        <f t="shared" si="143"/>
        <v>9.5</v>
      </c>
      <c r="S32" s="696">
        <f t="shared" si="143"/>
        <v>10</v>
      </c>
      <c r="T32" s="696">
        <f t="shared" si="143"/>
        <v>10.5</v>
      </c>
      <c r="U32" s="696">
        <f t="shared" si="143"/>
        <v>11</v>
      </c>
      <c r="V32" s="696">
        <f t="shared" si="143"/>
        <v>11.5</v>
      </c>
      <c r="W32" s="697" t="str">
        <f t="shared" si="143"/>
        <v>-</v>
      </c>
      <c r="X32" s="697" t="str">
        <f t="shared" si="144"/>
        <v>-</v>
      </c>
      <c r="Y32" s="698" t="str">
        <f t="shared" si="144"/>
        <v>-</v>
      </c>
      <c r="Z32" s="696" t="str">
        <f t="shared" si="144"/>
        <v>-</v>
      </c>
      <c r="AA32" s="696" t="str">
        <f t="shared" si="144"/>
        <v>-</v>
      </c>
      <c r="AB32" s="696" t="str">
        <f t="shared" si="144"/>
        <v>-</v>
      </c>
      <c r="AC32" s="696" t="str">
        <f t="shared" si="144"/>
        <v>-</v>
      </c>
      <c r="AD32" s="696" t="str">
        <f t="shared" si="144"/>
        <v>-</v>
      </c>
      <c r="AE32" s="696" t="str">
        <f t="shared" si="144"/>
        <v>-</v>
      </c>
      <c r="AF32" s="696" t="str">
        <f t="shared" si="144"/>
        <v>-</v>
      </c>
      <c r="AG32" s="696" t="str">
        <f t="shared" si="144"/>
        <v>-</v>
      </c>
      <c r="AH32" s="711" t="str">
        <f t="shared" si="144"/>
        <v>-</v>
      </c>
      <c r="AI32" s="695">
        <f t="shared" si="162"/>
        <v>1.0714285714285714</v>
      </c>
      <c r="AJ32" s="696">
        <f t="shared" si="87"/>
        <v>1.1428571428571428</v>
      </c>
      <c r="AK32" s="696">
        <f t="shared" si="88"/>
        <v>1.2142857142857142</v>
      </c>
      <c r="AL32" s="696">
        <f t="shared" si="89"/>
        <v>1.2857142857142858</v>
      </c>
      <c r="AM32" s="696">
        <f t="shared" si="90"/>
        <v>1.3571428571428572</v>
      </c>
      <c r="AN32" s="696">
        <f t="shared" si="91"/>
        <v>1.4285714285714286</v>
      </c>
      <c r="AO32" s="696">
        <f t="shared" si="92"/>
        <v>1.5</v>
      </c>
      <c r="AP32" s="696">
        <f t="shared" si="93"/>
        <v>1.5714285714285714</v>
      </c>
      <c r="AQ32" s="696">
        <f t="shared" si="94"/>
        <v>1.6428571428571428</v>
      </c>
      <c r="AR32" s="697" t="str">
        <f t="shared" si="95"/>
        <v>-</v>
      </c>
      <c r="AS32" s="696" t="str">
        <f t="shared" si="96"/>
        <v>-</v>
      </c>
      <c r="AT32" s="696" t="str">
        <f t="shared" si="97"/>
        <v>-</v>
      </c>
      <c r="AU32" s="696" t="str">
        <f t="shared" si="98"/>
        <v>-</v>
      </c>
      <c r="AV32" s="696" t="str">
        <f t="shared" si="99"/>
        <v>-</v>
      </c>
      <c r="AW32" s="696" t="str">
        <f t="shared" si="100"/>
        <v>-</v>
      </c>
      <c r="AX32" s="696" t="str">
        <f t="shared" si="101"/>
        <v>-</v>
      </c>
      <c r="AY32" s="696" t="str">
        <f t="shared" si="102"/>
        <v>-</v>
      </c>
      <c r="AZ32" s="696" t="str">
        <f t="shared" si="103"/>
        <v>-</v>
      </c>
      <c r="BA32" s="697" t="str">
        <f t="shared" si="104"/>
        <v>-</v>
      </c>
      <c r="BB32" s="697" t="str">
        <f t="shared" si="105"/>
        <v>-</v>
      </c>
      <c r="BC32" s="699" t="str">
        <f t="shared" si="106"/>
        <v>-</v>
      </c>
    </row>
    <row r="33" spans="1:79" ht="15.75" thickBot="1" x14ac:dyDescent="0.3">
      <c r="A33" s="819"/>
      <c r="B33" s="700" t="s">
        <v>11</v>
      </c>
      <c r="C33" s="701">
        <v>7</v>
      </c>
      <c r="D33" s="702">
        <v>7</v>
      </c>
      <c r="E33" s="741">
        <v>38</v>
      </c>
      <c r="F33" s="741">
        <v>500</v>
      </c>
      <c r="G33" s="741">
        <v>68</v>
      </c>
      <c r="H33" s="741">
        <v>1200</v>
      </c>
      <c r="I33" s="742">
        <v>-6</v>
      </c>
      <c r="J33" s="742">
        <v>4</v>
      </c>
      <c r="K33" s="743"/>
      <c r="L33" s="744">
        <f t="shared" si="20"/>
        <v>17</v>
      </c>
      <c r="M33" s="705">
        <f t="shared" si="21"/>
        <v>2.4285714285714284</v>
      </c>
      <c r="N33" s="706">
        <f t="shared" ref="N33:W42" si="163">IF(AND(N$2&lt;=$F33,($E33-$I33*N$2/100)/$J33&gt;0),($E33-$I33*N$2/100)/$J33,"-")</f>
        <v>9.5</v>
      </c>
      <c r="O33" s="707">
        <f t="shared" si="163"/>
        <v>10.25</v>
      </c>
      <c r="P33" s="707">
        <f t="shared" si="163"/>
        <v>11</v>
      </c>
      <c r="Q33" s="707">
        <f t="shared" si="163"/>
        <v>11.75</v>
      </c>
      <c r="R33" s="707">
        <f t="shared" si="163"/>
        <v>12.5</v>
      </c>
      <c r="S33" s="707">
        <f t="shared" si="163"/>
        <v>13.25</v>
      </c>
      <c r="T33" s="707">
        <f t="shared" si="163"/>
        <v>14</v>
      </c>
      <c r="U33" s="707">
        <f t="shared" si="163"/>
        <v>14.75</v>
      </c>
      <c r="V33" s="707">
        <f t="shared" si="163"/>
        <v>15.5</v>
      </c>
      <c r="W33" s="707">
        <f t="shared" si="163"/>
        <v>16.25</v>
      </c>
      <c r="X33" s="707">
        <f t="shared" ref="X33:AH42" si="164">IF(AND(X$2&lt;=$F33,($E33-$I33*X$2/100)/$J33&gt;0),($E33-$I33*X$2/100)/$J33,"-")</f>
        <v>17</v>
      </c>
      <c r="Y33" s="709" t="str">
        <f t="shared" si="164"/>
        <v>-</v>
      </c>
      <c r="Z33" s="707" t="str">
        <f t="shared" si="164"/>
        <v>-</v>
      </c>
      <c r="AA33" s="707" t="str">
        <f t="shared" si="164"/>
        <v>-</v>
      </c>
      <c r="AB33" s="707" t="str">
        <f t="shared" si="164"/>
        <v>-</v>
      </c>
      <c r="AC33" s="707" t="str">
        <f t="shared" si="164"/>
        <v>-</v>
      </c>
      <c r="AD33" s="707" t="str">
        <f t="shared" si="164"/>
        <v>-</v>
      </c>
      <c r="AE33" s="707" t="str">
        <f t="shared" si="164"/>
        <v>-</v>
      </c>
      <c r="AF33" s="707" t="str">
        <f t="shared" si="164"/>
        <v>-</v>
      </c>
      <c r="AG33" s="707" t="str">
        <f t="shared" si="164"/>
        <v>-</v>
      </c>
      <c r="AH33" s="720" t="str">
        <f t="shared" si="164"/>
        <v>-</v>
      </c>
      <c r="AI33" s="706">
        <f t="shared" si="162"/>
        <v>1.3571428571428572</v>
      </c>
      <c r="AJ33" s="707">
        <f t="shared" si="87"/>
        <v>1.4642857142857142</v>
      </c>
      <c r="AK33" s="707">
        <f t="shared" si="88"/>
        <v>1.5714285714285714</v>
      </c>
      <c r="AL33" s="707">
        <f t="shared" si="89"/>
        <v>1.6785714285714286</v>
      </c>
      <c r="AM33" s="707">
        <f t="shared" si="90"/>
        <v>1.7857142857142858</v>
      </c>
      <c r="AN33" s="707">
        <f t="shared" si="91"/>
        <v>1.8928571428571428</v>
      </c>
      <c r="AO33" s="707">
        <f t="shared" si="92"/>
        <v>2</v>
      </c>
      <c r="AP33" s="707">
        <f t="shared" si="93"/>
        <v>2.1071428571428572</v>
      </c>
      <c r="AQ33" s="707">
        <f t="shared" si="94"/>
        <v>2.2142857142857144</v>
      </c>
      <c r="AR33" s="707">
        <f t="shared" si="95"/>
        <v>2.3214285714285716</v>
      </c>
      <c r="AS33" s="707">
        <f t="shared" si="96"/>
        <v>2.4285714285714284</v>
      </c>
      <c r="AT33" s="707" t="str">
        <f t="shared" si="97"/>
        <v>-</v>
      </c>
      <c r="AU33" s="707" t="str">
        <f t="shared" si="98"/>
        <v>-</v>
      </c>
      <c r="AV33" s="707" t="str">
        <f t="shared" si="99"/>
        <v>-</v>
      </c>
      <c r="AW33" s="707" t="str">
        <f t="shared" si="100"/>
        <v>-</v>
      </c>
      <c r="AX33" s="707" t="str">
        <f t="shared" si="101"/>
        <v>-</v>
      </c>
      <c r="AY33" s="707" t="str">
        <f t="shared" si="102"/>
        <v>-</v>
      </c>
      <c r="AZ33" s="707" t="str">
        <f t="shared" si="103"/>
        <v>-</v>
      </c>
      <c r="BA33" s="707" t="str">
        <f t="shared" si="104"/>
        <v>-</v>
      </c>
      <c r="BB33" s="707" t="str">
        <f t="shared" si="105"/>
        <v>-</v>
      </c>
      <c r="BC33" s="710" t="str">
        <f t="shared" si="106"/>
        <v>-</v>
      </c>
    </row>
    <row r="34" spans="1:79" ht="15.75" thickBot="1" x14ac:dyDescent="0.3">
      <c r="A34" s="745" t="s">
        <v>203</v>
      </c>
      <c r="B34" s="700" t="s">
        <v>24</v>
      </c>
      <c r="C34" s="701">
        <v>8</v>
      </c>
      <c r="D34" s="702">
        <v>7</v>
      </c>
      <c r="E34" s="741">
        <v>46</v>
      </c>
      <c r="F34" s="741">
        <v>600</v>
      </c>
      <c r="G34" s="741">
        <v>72</v>
      </c>
      <c r="H34" s="741">
        <v>1200</v>
      </c>
      <c r="I34" s="742">
        <v>-10</v>
      </c>
      <c r="J34" s="742">
        <v>4</v>
      </c>
      <c r="K34" s="743"/>
      <c r="L34" s="744">
        <f t="shared" si="20"/>
        <v>18</v>
      </c>
      <c r="M34" s="705">
        <f t="shared" si="21"/>
        <v>2.5714285714285716</v>
      </c>
      <c r="N34" s="706">
        <f t="shared" si="163"/>
        <v>11.5</v>
      </c>
      <c r="O34" s="707">
        <f t="shared" si="163"/>
        <v>12.75</v>
      </c>
      <c r="P34" s="707">
        <f t="shared" si="163"/>
        <v>14</v>
      </c>
      <c r="Q34" s="707">
        <f t="shared" si="163"/>
        <v>15.25</v>
      </c>
      <c r="R34" s="707">
        <f t="shared" si="163"/>
        <v>16.5</v>
      </c>
      <c r="S34" s="707">
        <f t="shared" si="163"/>
        <v>17.75</v>
      </c>
      <c r="T34" s="707">
        <f t="shared" si="163"/>
        <v>19</v>
      </c>
      <c r="U34" s="707">
        <f t="shared" si="163"/>
        <v>20.25</v>
      </c>
      <c r="V34" s="707">
        <f t="shared" si="163"/>
        <v>21.5</v>
      </c>
      <c r="W34" s="707">
        <f t="shared" si="163"/>
        <v>22.75</v>
      </c>
      <c r="X34" s="707">
        <f t="shared" si="164"/>
        <v>24</v>
      </c>
      <c r="Y34" s="709">
        <f t="shared" si="164"/>
        <v>25.25</v>
      </c>
      <c r="Z34" s="707">
        <f t="shared" si="164"/>
        <v>26.5</v>
      </c>
      <c r="AA34" s="707" t="str">
        <f t="shared" si="164"/>
        <v>-</v>
      </c>
      <c r="AB34" s="707" t="str">
        <f t="shared" si="164"/>
        <v>-</v>
      </c>
      <c r="AC34" s="707" t="str">
        <f t="shared" si="164"/>
        <v>-</v>
      </c>
      <c r="AD34" s="707" t="str">
        <f t="shared" si="164"/>
        <v>-</v>
      </c>
      <c r="AE34" s="707" t="str">
        <f t="shared" si="164"/>
        <v>-</v>
      </c>
      <c r="AF34" s="707" t="str">
        <f t="shared" si="164"/>
        <v>-</v>
      </c>
      <c r="AG34" s="707" t="str">
        <f t="shared" si="164"/>
        <v>-</v>
      </c>
      <c r="AH34" s="720" t="str">
        <f t="shared" si="164"/>
        <v>-</v>
      </c>
      <c r="AI34" s="706">
        <f t="shared" si="162"/>
        <v>1.6428571428571428</v>
      </c>
      <c r="AJ34" s="707">
        <f t="shared" si="87"/>
        <v>1.8214285714285714</v>
      </c>
      <c r="AK34" s="707">
        <f t="shared" si="88"/>
        <v>2</v>
      </c>
      <c r="AL34" s="707">
        <f t="shared" si="89"/>
        <v>2.1785714285714284</v>
      </c>
      <c r="AM34" s="707">
        <f t="shared" si="90"/>
        <v>2.3571428571428572</v>
      </c>
      <c r="AN34" s="707">
        <f t="shared" si="91"/>
        <v>2.5357142857142856</v>
      </c>
      <c r="AO34" s="707">
        <f t="shared" si="92"/>
        <v>2.7142857142857144</v>
      </c>
      <c r="AP34" s="707">
        <f t="shared" si="93"/>
        <v>2.8928571428571428</v>
      </c>
      <c r="AQ34" s="707">
        <f t="shared" si="94"/>
        <v>3.0714285714285716</v>
      </c>
      <c r="AR34" s="707">
        <f t="shared" si="95"/>
        <v>3.25</v>
      </c>
      <c r="AS34" s="707">
        <f t="shared" si="96"/>
        <v>3.4285714285714284</v>
      </c>
      <c r="AT34" s="707">
        <f t="shared" si="97"/>
        <v>3.6071428571428572</v>
      </c>
      <c r="AU34" s="707">
        <f t="shared" si="98"/>
        <v>3.7857142857142856</v>
      </c>
      <c r="AV34" s="707" t="str">
        <f t="shared" si="99"/>
        <v>-</v>
      </c>
      <c r="AW34" s="707" t="str">
        <f t="shared" si="100"/>
        <v>-</v>
      </c>
      <c r="AX34" s="707" t="str">
        <f t="shared" si="101"/>
        <v>-</v>
      </c>
      <c r="AY34" s="707" t="str">
        <f t="shared" si="102"/>
        <v>-</v>
      </c>
      <c r="AZ34" s="707" t="str">
        <f t="shared" si="103"/>
        <v>-</v>
      </c>
      <c r="BA34" s="707" t="str">
        <f t="shared" si="104"/>
        <v>-</v>
      </c>
      <c r="BB34" s="707" t="str">
        <f t="shared" si="105"/>
        <v>-</v>
      </c>
      <c r="BC34" s="710" t="str">
        <f t="shared" si="106"/>
        <v>-</v>
      </c>
    </row>
    <row r="35" spans="1:79" ht="15.75" thickBot="1" x14ac:dyDescent="0.3">
      <c r="A35" s="746" t="s">
        <v>38</v>
      </c>
      <c r="B35" s="747" t="s">
        <v>24</v>
      </c>
      <c r="C35" s="748">
        <v>8</v>
      </c>
      <c r="D35" s="749">
        <v>140</v>
      </c>
      <c r="E35" s="750">
        <v>3000</v>
      </c>
      <c r="F35" s="750">
        <v>1000</v>
      </c>
      <c r="G35" s="750">
        <v>400</v>
      </c>
      <c r="H35" s="750">
        <v>1200</v>
      </c>
      <c r="I35" s="751">
        <v>270</v>
      </c>
      <c r="J35" s="751">
        <v>8.5</v>
      </c>
      <c r="K35" s="748"/>
      <c r="L35" s="752">
        <f t="shared" ref="L35:L66" si="165">G35/J35</f>
        <v>47.058823529411768</v>
      </c>
      <c r="M35" s="753">
        <f t="shared" si="21"/>
        <v>0.33613445378151263</v>
      </c>
      <c r="N35" s="754">
        <f t="shared" si="163"/>
        <v>352.94117647058823</v>
      </c>
      <c r="O35" s="755">
        <f t="shared" si="163"/>
        <v>337.05882352941177</v>
      </c>
      <c r="P35" s="755">
        <f t="shared" si="163"/>
        <v>321.1764705882353</v>
      </c>
      <c r="Q35" s="755">
        <f t="shared" si="163"/>
        <v>305.29411764705884</v>
      </c>
      <c r="R35" s="755">
        <f t="shared" si="163"/>
        <v>289.41176470588238</v>
      </c>
      <c r="S35" s="755">
        <f t="shared" si="163"/>
        <v>273.52941176470586</v>
      </c>
      <c r="T35" s="755">
        <f t="shared" si="163"/>
        <v>257.64705882352939</v>
      </c>
      <c r="U35" s="755">
        <f t="shared" si="163"/>
        <v>241.76470588235293</v>
      </c>
      <c r="V35" s="755">
        <f t="shared" si="163"/>
        <v>225.88235294117646</v>
      </c>
      <c r="W35" s="755">
        <f t="shared" si="163"/>
        <v>210</v>
      </c>
      <c r="X35" s="756">
        <f t="shared" si="164"/>
        <v>194.11764705882354</v>
      </c>
      <c r="Y35" s="757">
        <f t="shared" si="164"/>
        <v>178.23529411764707</v>
      </c>
      <c r="Z35" s="755">
        <f t="shared" si="164"/>
        <v>162.35294117647058</v>
      </c>
      <c r="AA35" s="755">
        <f t="shared" si="164"/>
        <v>146.47058823529412</v>
      </c>
      <c r="AB35" s="755">
        <f t="shared" si="164"/>
        <v>130.58823529411765</v>
      </c>
      <c r="AC35" s="755">
        <f t="shared" si="164"/>
        <v>114.70588235294117</v>
      </c>
      <c r="AD35" s="755">
        <f t="shared" si="164"/>
        <v>98.82352941176471</v>
      </c>
      <c r="AE35" s="755">
        <f t="shared" si="164"/>
        <v>82.941176470588232</v>
      </c>
      <c r="AF35" s="755">
        <f t="shared" si="164"/>
        <v>67.058823529411768</v>
      </c>
      <c r="AG35" s="755">
        <f t="shared" si="164"/>
        <v>51.176470588235297</v>
      </c>
      <c r="AH35" s="758">
        <f t="shared" si="164"/>
        <v>35.294117647058826</v>
      </c>
      <c r="AI35" s="754">
        <f t="shared" si="162"/>
        <v>2.5210084033613445</v>
      </c>
      <c r="AJ35" s="755">
        <f t="shared" si="87"/>
        <v>2.4075630252100839</v>
      </c>
      <c r="AK35" s="755">
        <f t="shared" si="88"/>
        <v>2.2941176470588238</v>
      </c>
      <c r="AL35" s="755">
        <f t="shared" si="89"/>
        <v>2.1806722689075633</v>
      </c>
      <c r="AM35" s="755">
        <f t="shared" si="90"/>
        <v>2.0672268907563027</v>
      </c>
      <c r="AN35" s="755">
        <f t="shared" si="91"/>
        <v>1.9537815126050417</v>
      </c>
      <c r="AO35" s="755">
        <f t="shared" si="92"/>
        <v>1.8403361344537814</v>
      </c>
      <c r="AP35" s="755">
        <f t="shared" si="93"/>
        <v>1.7268907563025209</v>
      </c>
      <c r="AQ35" s="755">
        <f t="shared" si="94"/>
        <v>1.6134453781512605</v>
      </c>
      <c r="AR35" s="755">
        <f t="shared" si="95"/>
        <v>1.5</v>
      </c>
      <c r="AS35" s="755">
        <f t="shared" si="96"/>
        <v>1.3865546218487395</v>
      </c>
      <c r="AT35" s="755">
        <f t="shared" si="97"/>
        <v>1.2731092436974791</v>
      </c>
      <c r="AU35" s="755">
        <f t="shared" si="98"/>
        <v>1.1596638655462184</v>
      </c>
      <c r="AV35" s="755">
        <f t="shared" si="99"/>
        <v>1.046218487394958</v>
      </c>
      <c r="AW35" s="755">
        <f t="shared" si="100"/>
        <v>0.9327731092436975</v>
      </c>
      <c r="AX35" s="755">
        <f t="shared" si="101"/>
        <v>0.81932773109243695</v>
      </c>
      <c r="AY35" s="755">
        <f t="shared" si="102"/>
        <v>0.70588235294117652</v>
      </c>
      <c r="AZ35" s="755">
        <f t="shared" si="103"/>
        <v>0.59243697478991597</v>
      </c>
      <c r="BA35" s="755">
        <f t="shared" si="104"/>
        <v>0.47899159663865548</v>
      </c>
      <c r="BB35" s="756">
        <f t="shared" si="105"/>
        <v>0.36554621848739499</v>
      </c>
      <c r="BC35" s="759">
        <f t="shared" si="106"/>
        <v>0.25210084033613445</v>
      </c>
      <c r="BD35">
        <f t="shared" ref="BD35:BO43" si="166">$E35-$I35*BD$2/100</f>
        <v>3000</v>
      </c>
      <c r="BE35">
        <f t="shared" si="166"/>
        <v>2865</v>
      </c>
      <c r="BF35">
        <f t="shared" si="166"/>
        <v>2730</v>
      </c>
      <c r="BG35">
        <f t="shared" si="166"/>
        <v>2595</v>
      </c>
      <c r="BH35">
        <f t="shared" si="166"/>
        <v>2460</v>
      </c>
      <c r="BI35">
        <f t="shared" si="166"/>
        <v>2325</v>
      </c>
      <c r="BJ35">
        <f t="shared" si="166"/>
        <v>2190</v>
      </c>
      <c r="BK35">
        <f t="shared" si="166"/>
        <v>2055</v>
      </c>
      <c r="BL35">
        <f t="shared" si="166"/>
        <v>1920</v>
      </c>
      <c r="BM35">
        <f t="shared" si="166"/>
        <v>1785</v>
      </c>
      <c r="BN35">
        <f t="shared" si="166"/>
        <v>1650</v>
      </c>
      <c r="BO35">
        <f t="shared" si="166"/>
        <v>1515</v>
      </c>
      <c r="BP35">
        <f t="shared" ref="BP35:CA42" si="167">BD35/$D35</f>
        <v>21.428571428571427</v>
      </c>
      <c r="BQ35">
        <f t="shared" si="167"/>
        <v>20.464285714285715</v>
      </c>
      <c r="BR35">
        <f t="shared" si="167"/>
        <v>19.5</v>
      </c>
      <c r="BS35">
        <f t="shared" si="167"/>
        <v>18.535714285714285</v>
      </c>
      <c r="BT35">
        <f t="shared" si="167"/>
        <v>17.571428571428573</v>
      </c>
      <c r="BU35">
        <f t="shared" si="167"/>
        <v>16.607142857142858</v>
      </c>
      <c r="BV35">
        <f t="shared" si="167"/>
        <v>15.642857142857142</v>
      </c>
      <c r="BW35">
        <f t="shared" si="167"/>
        <v>14.678571428571429</v>
      </c>
      <c r="BX35">
        <f t="shared" si="167"/>
        <v>13.714285714285714</v>
      </c>
      <c r="BY35">
        <f t="shared" si="167"/>
        <v>12.75</v>
      </c>
      <c r="BZ35">
        <f t="shared" si="167"/>
        <v>11.785714285714286</v>
      </c>
      <c r="CA35">
        <f t="shared" si="167"/>
        <v>10.821428571428571</v>
      </c>
    </row>
    <row r="36" spans="1:79" ht="15.75" thickBot="1" x14ac:dyDescent="0.3">
      <c r="A36" s="746" t="s">
        <v>209</v>
      </c>
      <c r="B36" s="747" t="s">
        <v>24</v>
      </c>
      <c r="C36" s="748">
        <v>9</v>
      </c>
      <c r="D36" s="749">
        <v>2000</v>
      </c>
      <c r="E36" s="760">
        <v>40000</v>
      </c>
      <c r="F36" s="760">
        <v>700</v>
      </c>
      <c r="G36" s="760">
        <v>800</v>
      </c>
      <c r="H36" s="760">
        <v>1200</v>
      </c>
      <c r="I36" s="761">
        <v>380</v>
      </c>
      <c r="J36" s="761">
        <v>8.5</v>
      </c>
      <c r="K36" s="748"/>
      <c r="L36" s="752">
        <f t="shared" si="165"/>
        <v>94.117647058823536</v>
      </c>
      <c r="M36" s="753">
        <f t="shared" si="21"/>
        <v>4.7058823529411771E-2</v>
      </c>
      <c r="N36" s="754">
        <f t="shared" si="163"/>
        <v>4705.8823529411766</v>
      </c>
      <c r="O36" s="755">
        <f t="shared" si="163"/>
        <v>4683.5294117647063</v>
      </c>
      <c r="P36" s="755">
        <f t="shared" si="163"/>
        <v>4661.1764705882351</v>
      </c>
      <c r="Q36" s="755">
        <f t="shared" si="163"/>
        <v>4638.8235294117649</v>
      </c>
      <c r="R36" s="755">
        <f t="shared" si="163"/>
        <v>4616.4705882352937</v>
      </c>
      <c r="S36" s="755">
        <f t="shared" si="163"/>
        <v>4594.1176470588234</v>
      </c>
      <c r="T36" s="755">
        <f t="shared" si="163"/>
        <v>4571.7647058823532</v>
      </c>
      <c r="U36" s="755">
        <f t="shared" si="163"/>
        <v>4549.411764705882</v>
      </c>
      <c r="V36" s="755">
        <f t="shared" si="163"/>
        <v>4527.0588235294117</v>
      </c>
      <c r="W36" s="755">
        <f t="shared" si="163"/>
        <v>4504.7058823529414</v>
      </c>
      <c r="X36" s="756">
        <f t="shared" si="164"/>
        <v>4482.3529411764703</v>
      </c>
      <c r="Y36" s="757">
        <f t="shared" si="164"/>
        <v>4460</v>
      </c>
      <c r="Z36" s="755">
        <f t="shared" si="164"/>
        <v>4437.6470588235297</v>
      </c>
      <c r="AA36" s="755">
        <f t="shared" si="164"/>
        <v>4415.2941176470586</v>
      </c>
      <c r="AB36" s="755">
        <f t="shared" si="164"/>
        <v>4392.9411764705883</v>
      </c>
      <c r="AC36" s="755" t="str">
        <f t="shared" si="164"/>
        <v>-</v>
      </c>
      <c r="AD36" s="755" t="str">
        <f t="shared" si="164"/>
        <v>-</v>
      </c>
      <c r="AE36" s="755" t="str">
        <f t="shared" si="164"/>
        <v>-</v>
      </c>
      <c r="AF36" s="755" t="str">
        <f t="shared" si="164"/>
        <v>-</v>
      </c>
      <c r="AG36" s="755" t="str">
        <f t="shared" si="164"/>
        <v>-</v>
      </c>
      <c r="AH36" s="758" t="str">
        <f t="shared" si="164"/>
        <v>-</v>
      </c>
      <c r="AI36" s="754">
        <f t="shared" si="162"/>
        <v>2.3529411764705883</v>
      </c>
      <c r="AJ36" s="755">
        <f t="shared" si="87"/>
        <v>2.341764705882353</v>
      </c>
      <c r="AK36" s="755">
        <f t="shared" si="88"/>
        <v>2.3305882352941176</v>
      </c>
      <c r="AL36" s="755">
        <f t="shared" si="89"/>
        <v>2.3194117647058823</v>
      </c>
      <c r="AM36" s="755">
        <f t="shared" si="90"/>
        <v>2.3082352941176469</v>
      </c>
      <c r="AN36" s="755">
        <f t="shared" si="91"/>
        <v>2.2970588235294116</v>
      </c>
      <c r="AO36" s="755">
        <f t="shared" si="92"/>
        <v>2.2858823529411767</v>
      </c>
      <c r="AP36" s="755">
        <f t="shared" si="93"/>
        <v>2.2747058823529409</v>
      </c>
      <c r="AQ36" s="755">
        <f t="shared" si="94"/>
        <v>2.263529411764706</v>
      </c>
      <c r="AR36" s="755">
        <f t="shared" si="95"/>
        <v>2.2523529411764707</v>
      </c>
      <c r="AS36" s="755">
        <f t="shared" si="96"/>
        <v>2.2411764705882353</v>
      </c>
      <c r="AT36" s="755">
        <f t="shared" si="97"/>
        <v>2.23</v>
      </c>
      <c r="AU36" s="755">
        <f t="shared" si="98"/>
        <v>2.2188235294117651</v>
      </c>
      <c r="AV36" s="755">
        <f t="shared" si="99"/>
        <v>2.2076470588235293</v>
      </c>
      <c r="AW36" s="755">
        <f t="shared" si="100"/>
        <v>2.196470588235294</v>
      </c>
      <c r="AX36" s="755" t="str">
        <f t="shared" si="101"/>
        <v>-</v>
      </c>
      <c r="AY36" s="755" t="str">
        <f t="shared" si="102"/>
        <v>-</v>
      </c>
      <c r="AZ36" s="755" t="str">
        <f t="shared" si="103"/>
        <v>-</v>
      </c>
      <c r="BA36" s="755" t="str">
        <f t="shared" si="104"/>
        <v>-</v>
      </c>
      <c r="BB36" s="756" t="str">
        <f t="shared" si="105"/>
        <v>-</v>
      </c>
      <c r="BC36" s="759" t="str">
        <f t="shared" si="106"/>
        <v>-</v>
      </c>
      <c r="BD36">
        <f t="shared" si="166"/>
        <v>40000</v>
      </c>
      <c r="BE36">
        <f t="shared" si="166"/>
        <v>39810</v>
      </c>
      <c r="BF36">
        <f t="shared" si="166"/>
        <v>39620</v>
      </c>
      <c r="BG36">
        <f t="shared" si="166"/>
        <v>39430</v>
      </c>
      <c r="BH36">
        <f t="shared" si="166"/>
        <v>39240</v>
      </c>
      <c r="BI36">
        <f t="shared" si="166"/>
        <v>39050</v>
      </c>
      <c r="BJ36">
        <f t="shared" si="166"/>
        <v>38860</v>
      </c>
      <c r="BK36">
        <f t="shared" si="166"/>
        <v>38670</v>
      </c>
      <c r="BL36">
        <f t="shared" si="166"/>
        <v>38480</v>
      </c>
      <c r="BM36">
        <f t="shared" si="166"/>
        <v>38290</v>
      </c>
      <c r="BN36">
        <f t="shared" si="166"/>
        <v>38100</v>
      </c>
      <c r="BO36">
        <f t="shared" si="166"/>
        <v>37910</v>
      </c>
      <c r="BP36">
        <f t="shared" si="167"/>
        <v>20</v>
      </c>
      <c r="BQ36">
        <f t="shared" si="167"/>
        <v>19.905000000000001</v>
      </c>
      <c r="BR36">
        <f t="shared" si="167"/>
        <v>19.809999999999999</v>
      </c>
      <c r="BS36">
        <f t="shared" si="167"/>
        <v>19.715</v>
      </c>
      <c r="BT36">
        <f t="shared" si="167"/>
        <v>19.62</v>
      </c>
      <c r="BU36">
        <f t="shared" si="167"/>
        <v>19.524999999999999</v>
      </c>
      <c r="BV36">
        <f t="shared" si="167"/>
        <v>19.43</v>
      </c>
      <c r="BW36">
        <f t="shared" si="167"/>
        <v>19.335000000000001</v>
      </c>
      <c r="BX36">
        <f t="shared" si="167"/>
        <v>19.239999999999998</v>
      </c>
      <c r="BY36">
        <f t="shared" si="167"/>
        <v>19.145</v>
      </c>
      <c r="BZ36">
        <f t="shared" si="167"/>
        <v>19.05</v>
      </c>
      <c r="CA36">
        <f t="shared" si="167"/>
        <v>18.954999999999998</v>
      </c>
    </row>
    <row r="37" spans="1:79" x14ac:dyDescent="0.25">
      <c r="A37" s="847" t="s">
        <v>39</v>
      </c>
      <c r="B37" s="302" t="s">
        <v>9</v>
      </c>
      <c r="C37" s="303">
        <v>1</v>
      </c>
      <c r="D37" s="304">
        <v>16</v>
      </c>
      <c r="E37" s="305">
        <v>35</v>
      </c>
      <c r="F37" s="305">
        <v>220</v>
      </c>
      <c r="G37" s="305">
        <v>54</v>
      </c>
      <c r="H37" s="305">
        <v>120</v>
      </c>
      <c r="I37" s="302">
        <v>13</v>
      </c>
      <c r="J37" s="302">
        <v>8.1999999999999993</v>
      </c>
      <c r="K37" s="306"/>
      <c r="L37" s="307">
        <f t="shared" si="165"/>
        <v>6.5853658536585371</v>
      </c>
      <c r="M37" s="308">
        <f t="shared" si="21"/>
        <v>0.41158536585365857</v>
      </c>
      <c r="N37" s="309">
        <f t="shared" si="163"/>
        <v>4.2682926829268295</v>
      </c>
      <c r="O37" s="310">
        <f t="shared" si="163"/>
        <v>3.4756097560975614</v>
      </c>
      <c r="P37" s="310">
        <f t="shared" si="163"/>
        <v>2.6829268292682928</v>
      </c>
      <c r="Q37" s="310">
        <f t="shared" si="163"/>
        <v>1.8902439024390245</v>
      </c>
      <c r="R37" s="310">
        <f t="shared" si="163"/>
        <v>1.0975609756097562</v>
      </c>
      <c r="S37" s="311" t="str">
        <f t="shared" si="163"/>
        <v>-</v>
      </c>
      <c r="T37" s="311" t="str">
        <f t="shared" si="163"/>
        <v>-</v>
      </c>
      <c r="U37" s="311" t="str">
        <f t="shared" si="163"/>
        <v>-</v>
      </c>
      <c r="V37" s="311" t="str">
        <f t="shared" si="163"/>
        <v>-</v>
      </c>
      <c r="W37" s="311" t="str">
        <f t="shared" si="163"/>
        <v>-</v>
      </c>
      <c r="X37" s="311" t="str">
        <f t="shared" si="164"/>
        <v>-</v>
      </c>
      <c r="Y37" s="312" t="str">
        <f t="shared" si="164"/>
        <v>-</v>
      </c>
      <c r="Z37" s="310" t="str">
        <f t="shared" si="164"/>
        <v>-</v>
      </c>
      <c r="AA37" s="310" t="str">
        <f t="shared" si="164"/>
        <v>-</v>
      </c>
      <c r="AB37" s="310" t="str">
        <f t="shared" si="164"/>
        <v>-</v>
      </c>
      <c r="AC37" s="310" t="str">
        <f t="shared" si="164"/>
        <v>-</v>
      </c>
      <c r="AD37" s="310" t="str">
        <f t="shared" si="164"/>
        <v>-</v>
      </c>
      <c r="AE37" s="311" t="str">
        <f t="shared" si="164"/>
        <v>-</v>
      </c>
      <c r="AF37" s="311" t="str">
        <f t="shared" si="164"/>
        <v>-</v>
      </c>
      <c r="AG37" s="311" t="str">
        <f t="shared" si="164"/>
        <v>-</v>
      </c>
      <c r="AH37" s="312" t="str">
        <f t="shared" si="164"/>
        <v>-</v>
      </c>
      <c r="AI37" s="309">
        <f t="shared" si="162"/>
        <v>0.26676829268292684</v>
      </c>
      <c r="AJ37" s="310">
        <f t="shared" si="87"/>
        <v>0.21722560975609759</v>
      </c>
      <c r="AK37" s="310">
        <f t="shared" si="88"/>
        <v>0.1676829268292683</v>
      </c>
      <c r="AL37" s="310">
        <f t="shared" si="89"/>
        <v>0.11814024390243903</v>
      </c>
      <c r="AM37" s="310">
        <f t="shared" si="90"/>
        <v>6.8597560975609762E-2</v>
      </c>
      <c r="AN37" s="311" t="str">
        <f t="shared" si="91"/>
        <v>-</v>
      </c>
      <c r="AO37" s="311" t="str">
        <f t="shared" si="92"/>
        <v>-</v>
      </c>
      <c r="AP37" s="311" t="str">
        <f t="shared" si="93"/>
        <v>-</v>
      </c>
      <c r="AQ37" s="311" t="str">
        <f t="shared" si="94"/>
        <v>-</v>
      </c>
      <c r="AR37" s="311" t="str">
        <f t="shared" si="95"/>
        <v>-</v>
      </c>
      <c r="AS37" s="310" t="str">
        <f t="shared" si="96"/>
        <v>-</v>
      </c>
      <c r="AT37" s="310" t="str">
        <f t="shared" si="97"/>
        <v>-</v>
      </c>
      <c r="AU37" s="310" t="str">
        <f t="shared" si="98"/>
        <v>-</v>
      </c>
      <c r="AV37" s="310" t="str">
        <f t="shared" si="99"/>
        <v>-</v>
      </c>
      <c r="AW37" s="311" t="str">
        <f t="shared" si="100"/>
        <v>-</v>
      </c>
      <c r="AX37" s="311" t="str">
        <f t="shared" si="101"/>
        <v>-</v>
      </c>
      <c r="AY37" s="311" t="str">
        <f t="shared" si="102"/>
        <v>-</v>
      </c>
      <c r="AZ37" s="311" t="str">
        <f t="shared" si="103"/>
        <v>-</v>
      </c>
      <c r="BA37" s="311" t="str">
        <f t="shared" si="104"/>
        <v>-</v>
      </c>
      <c r="BB37" s="311" t="str">
        <f t="shared" si="105"/>
        <v>-</v>
      </c>
      <c r="BC37" s="313" t="str">
        <f t="shared" si="106"/>
        <v>-</v>
      </c>
      <c r="BD37">
        <f t="shared" si="166"/>
        <v>35</v>
      </c>
      <c r="BE37">
        <f t="shared" si="166"/>
        <v>28.5</v>
      </c>
      <c r="BF37">
        <f t="shared" si="166"/>
        <v>22</v>
      </c>
      <c r="BG37">
        <f t="shared" si="166"/>
        <v>15.5</v>
      </c>
      <c r="BH37">
        <f t="shared" si="166"/>
        <v>9</v>
      </c>
      <c r="BI37">
        <f t="shared" si="166"/>
        <v>2.5</v>
      </c>
      <c r="BJ37">
        <f t="shared" si="166"/>
        <v>-4</v>
      </c>
      <c r="BK37">
        <f t="shared" si="166"/>
        <v>-10.5</v>
      </c>
      <c r="BL37">
        <f t="shared" si="166"/>
        <v>-17</v>
      </c>
      <c r="BM37">
        <f t="shared" si="166"/>
        <v>-23.5</v>
      </c>
      <c r="BN37">
        <f t="shared" si="166"/>
        <v>-30</v>
      </c>
      <c r="BO37">
        <f t="shared" si="166"/>
        <v>-36.5</v>
      </c>
      <c r="BP37">
        <f t="shared" si="167"/>
        <v>2.1875</v>
      </c>
      <c r="BQ37">
        <f t="shared" si="167"/>
        <v>1.78125</v>
      </c>
      <c r="BR37">
        <f t="shared" si="167"/>
        <v>1.375</v>
      </c>
      <c r="BS37">
        <f t="shared" si="167"/>
        <v>0.96875</v>
      </c>
      <c r="BT37">
        <f t="shared" si="167"/>
        <v>0.5625</v>
      </c>
      <c r="BU37">
        <f t="shared" si="167"/>
        <v>0.15625</v>
      </c>
      <c r="BV37">
        <f t="shared" si="167"/>
        <v>-0.25</v>
      </c>
      <c r="BW37">
        <f t="shared" si="167"/>
        <v>-0.65625</v>
      </c>
      <c r="BX37">
        <f t="shared" si="167"/>
        <v>-1.0625</v>
      </c>
      <c r="BY37">
        <f t="shared" si="167"/>
        <v>-1.46875</v>
      </c>
      <c r="BZ37">
        <f t="shared" si="167"/>
        <v>-1.875</v>
      </c>
      <c r="CA37">
        <f t="shared" si="167"/>
        <v>-2.28125</v>
      </c>
    </row>
    <row r="38" spans="1:79" ht="15.75" thickBot="1" x14ac:dyDescent="0.3">
      <c r="A38" s="849"/>
      <c r="B38" s="322" t="s">
        <v>10</v>
      </c>
      <c r="C38" s="323">
        <v>2</v>
      </c>
      <c r="D38" s="324">
        <v>16</v>
      </c>
      <c r="E38" s="325">
        <v>42</v>
      </c>
      <c r="F38" s="325">
        <v>280</v>
      </c>
      <c r="G38" s="325">
        <v>54</v>
      </c>
      <c r="H38" s="325">
        <v>140</v>
      </c>
      <c r="I38" s="322">
        <v>13</v>
      </c>
      <c r="J38" s="322">
        <v>8.1999999999999993</v>
      </c>
      <c r="K38" s="326"/>
      <c r="L38" s="327">
        <f t="shared" si="165"/>
        <v>6.5853658536585371</v>
      </c>
      <c r="M38" s="328">
        <f t="shared" si="21"/>
        <v>0.41158536585365857</v>
      </c>
      <c r="N38" s="357">
        <f t="shared" si="163"/>
        <v>5.1219512195121952</v>
      </c>
      <c r="O38" s="358">
        <f t="shared" si="163"/>
        <v>4.3292682926829276</v>
      </c>
      <c r="P38" s="358">
        <f t="shared" si="163"/>
        <v>3.536585365853659</v>
      </c>
      <c r="Q38" s="358">
        <f t="shared" si="163"/>
        <v>2.7439024390243905</v>
      </c>
      <c r="R38" s="358">
        <f t="shared" si="163"/>
        <v>1.9512195121951221</v>
      </c>
      <c r="S38" s="358">
        <f t="shared" si="163"/>
        <v>1.1585365853658538</v>
      </c>
      <c r="T38" s="359" t="str">
        <f t="shared" si="163"/>
        <v>-</v>
      </c>
      <c r="U38" s="359" t="str">
        <f t="shared" si="163"/>
        <v>-</v>
      </c>
      <c r="V38" s="359" t="str">
        <f t="shared" si="163"/>
        <v>-</v>
      </c>
      <c r="W38" s="359" t="str">
        <f t="shared" si="163"/>
        <v>-</v>
      </c>
      <c r="X38" s="359" t="str">
        <f t="shared" si="164"/>
        <v>-</v>
      </c>
      <c r="Y38" s="360" t="str">
        <f t="shared" si="164"/>
        <v>-</v>
      </c>
      <c r="Z38" s="358" t="str">
        <f t="shared" si="164"/>
        <v>-</v>
      </c>
      <c r="AA38" s="358" t="str">
        <f t="shared" si="164"/>
        <v>-</v>
      </c>
      <c r="AB38" s="358" t="str">
        <f t="shared" si="164"/>
        <v>-</v>
      </c>
      <c r="AC38" s="358" t="str">
        <f t="shared" si="164"/>
        <v>-</v>
      </c>
      <c r="AD38" s="358" t="str">
        <f t="shared" si="164"/>
        <v>-</v>
      </c>
      <c r="AE38" s="358" t="str">
        <f t="shared" si="164"/>
        <v>-</v>
      </c>
      <c r="AF38" s="359" t="str">
        <f t="shared" si="164"/>
        <v>-</v>
      </c>
      <c r="AG38" s="359" t="str">
        <f t="shared" si="164"/>
        <v>-</v>
      </c>
      <c r="AH38" s="360" t="str">
        <f t="shared" si="164"/>
        <v>-</v>
      </c>
      <c r="AI38" s="357">
        <f t="shared" si="162"/>
        <v>0.3201219512195122</v>
      </c>
      <c r="AJ38" s="358">
        <f t="shared" si="87"/>
        <v>0.27057926829268297</v>
      </c>
      <c r="AK38" s="358">
        <f t="shared" si="88"/>
        <v>0.22103658536585369</v>
      </c>
      <c r="AL38" s="358">
        <f t="shared" si="89"/>
        <v>0.1714939024390244</v>
      </c>
      <c r="AM38" s="358">
        <f t="shared" si="90"/>
        <v>0.12195121951219513</v>
      </c>
      <c r="AN38" s="358">
        <f t="shared" si="91"/>
        <v>7.2408536585365862E-2</v>
      </c>
      <c r="AO38" s="359" t="str">
        <f t="shared" si="92"/>
        <v>-</v>
      </c>
      <c r="AP38" s="359" t="str">
        <f t="shared" si="93"/>
        <v>-</v>
      </c>
      <c r="AQ38" s="359" t="str">
        <f t="shared" si="94"/>
        <v>-</v>
      </c>
      <c r="AR38" s="359" t="str">
        <f t="shared" si="95"/>
        <v>-</v>
      </c>
      <c r="AS38" s="358" t="str">
        <f t="shared" si="96"/>
        <v>-</v>
      </c>
      <c r="AT38" s="358" t="str">
        <f t="shared" si="97"/>
        <v>-</v>
      </c>
      <c r="AU38" s="358" t="str">
        <f t="shared" si="98"/>
        <v>-</v>
      </c>
      <c r="AV38" s="358" t="str">
        <f t="shared" si="99"/>
        <v>-</v>
      </c>
      <c r="AW38" s="358" t="str">
        <f t="shared" si="100"/>
        <v>-</v>
      </c>
      <c r="AX38" s="359" t="str">
        <f t="shared" si="101"/>
        <v>-</v>
      </c>
      <c r="AY38" s="359" t="str">
        <f t="shared" si="102"/>
        <v>-</v>
      </c>
      <c r="AZ38" s="359" t="str">
        <f t="shared" si="103"/>
        <v>-</v>
      </c>
      <c r="BA38" s="359" t="str">
        <f t="shared" si="104"/>
        <v>-</v>
      </c>
      <c r="BB38" s="359" t="str">
        <f t="shared" si="105"/>
        <v>-</v>
      </c>
      <c r="BC38" s="361" t="str">
        <f t="shared" si="106"/>
        <v>-</v>
      </c>
      <c r="BD38">
        <f t="shared" si="166"/>
        <v>42</v>
      </c>
      <c r="BE38">
        <f t="shared" si="166"/>
        <v>35.5</v>
      </c>
      <c r="BF38">
        <f t="shared" si="166"/>
        <v>29</v>
      </c>
      <c r="BG38">
        <f t="shared" si="166"/>
        <v>22.5</v>
      </c>
      <c r="BH38">
        <f t="shared" si="166"/>
        <v>16</v>
      </c>
      <c r="BI38">
        <f t="shared" si="166"/>
        <v>9.5</v>
      </c>
      <c r="BJ38">
        <f t="shared" si="166"/>
        <v>3</v>
      </c>
      <c r="BK38">
        <f t="shared" si="166"/>
        <v>-3.5</v>
      </c>
      <c r="BL38">
        <f t="shared" si="166"/>
        <v>-10</v>
      </c>
      <c r="BM38">
        <f t="shared" si="166"/>
        <v>-16.5</v>
      </c>
      <c r="BN38">
        <f t="shared" si="166"/>
        <v>-23</v>
      </c>
      <c r="BO38">
        <f t="shared" si="166"/>
        <v>-29.5</v>
      </c>
      <c r="BP38">
        <f t="shared" si="167"/>
        <v>2.625</v>
      </c>
      <c r="BQ38">
        <f t="shared" si="167"/>
        <v>2.21875</v>
      </c>
      <c r="BR38">
        <f t="shared" si="167"/>
        <v>1.8125</v>
      </c>
      <c r="BS38">
        <f t="shared" si="167"/>
        <v>1.40625</v>
      </c>
      <c r="BT38">
        <f t="shared" si="167"/>
        <v>1</v>
      </c>
      <c r="BU38">
        <f t="shared" si="167"/>
        <v>0.59375</v>
      </c>
      <c r="BV38">
        <f t="shared" si="167"/>
        <v>0.1875</v>
      </c>
      <c r="BW38">
        <f t="shared" si="167"/>
        <v>-0.21875</v>
      </c>
      <c r="BX38">
        <f t="shared" si="167"/>
        <v>-0.625</v>
      </c>
      <c r="BY38">
        <f t="shared" si="167"/>
        <v>-1.03125</v>
      </c>
      <c r="BZ38">
        <f t="shared" si="167"/>
        <v>-1.4375</v>
      </c>
      <c r="CA38">
        <f t="shared" si="167"/>
        <v>-1.84375</v>
      </c>
    </row>
    <row r="39" spans="1:79" x14ac:dyDescent="0.25">
      <c r="A39" s="847" t="s">
        <v>40</v>
      </c>
      <c r="B39" s="305" t="s">
        <v>9</v>
      </c>
      <c r="C39" s="346">
        <v>3</v>
      </c>
      <c r="D39" s="349">
        <v>18</v>
      </c>
      <c r="E39" s="305">
        <v>74</v>
      </c>
      <c r="F39" s="305">
        <v>300</v>
      </c>
      <c r="G39" s="305">
        <v>90</v>
      </c>
      <c r="H39" s="305">
        <v>150</v>
      </c>
      <c r="I39" s="305">
        <v>21</v>
      </c>
      <c r="J39" s="305">
        <v>9</v>
      </c>
      <c r="K39" s="306"/>
      <c r="L39" s="307">
        <f t="shared" si="165"/>
        <v>10</v>
      </c>
      <c r="M39" s="343">
        <f t="shared" si="21"/>
        <v>0.55555555555555558</v>
      </c>
      <c r="N39" s="309">
        <f t="shared" si="163"/>
        <v>8.2222222222222214</v>
      </c>
      <c r="O39" s="310">
        <f t="shared" si="163"/>
        <v>7.0555555555555554</v>
      </c>
      <c r="P39" s="310">
        <f t="shared" si="163"/>
        <v>5.8888888888888893</v>
      </c>
      <c r="Q39" s="310">
        <f t="shared" si="163"/>
        <v>4.7222222222222223</v>
      </c>
      <c r="R39" s="310">
        <f t="shared" si="163"/>
        <v>3.5555555555555554</v>
      </c>
      <c r="S39" s="310">
        <f t="shared" si="163"/>
        <v>2.3888888888888888</v>
      </c>
      <c r="T39" s="310">
        <f t="shared" si="163"/>
        <v>1.2222222222222223</v>
      </c>
      <c r="U39" s="311" t="str">
        <f t="shared" si="163"/>
        <v>-</v>
      </c>
      <c r="V39" s="311" t="str">
        <f t="shared" si="163"/>
        <v>-</v>
      </c>
      <c r="W39" s="311" t="str">
        <f t="shared" si="163"/>
        <v>-</v>
      </c>
      <c r="X39" s="311" t="str">
        <f t="shared" si="164"/>
        <v>-</v>
      </c>
      <c r="Y39" s="312" t="str">
        <f t="shared" si="164"/>
        <v>-</v>
      </c>
      <c r="Z39" s="310" t="str">
        <f t="shared" si="164"/>
        <v>-</v>
      </c>
      <c r="AA39" s="310" t="str">
        <f t="shared" si="164"/>
        <v>-</v>
      </c>
      <c r="AB39" s="310" t="str">
        <f t="shared" si="164"/>
        <v>-</v>
      </c>
      <c r="AC39" s="310" t="str">
        <f t="shared" si="164"/>
        <v>-</v>
      </c>
      <c r="AD39" s="310" t="str">
        <f t="shared" si="164"/>
        <v>-</v>
      </c>
      <c r="AE39" s="310" t="str">
        <f t="shared" si="164"/>
        <v>-</v>
      </c>
      <c r="AF39" s="310" t="str">
        <f t="shared" si="164"/>
        <v>-</v>
      </c>
      <c r="AG39" s="311" t="str">
        <f t="shared" si="164"/>
        <v>-</v>
      </c>
      <c r="AH39" s="312" t="str">
        <f t="shared" si="164"/>
        <v>-</v>
      </c>
      <c r="AI39" s="309">
        <f t="shared" si="162"/>
        <v>0.4567901234567901</v>
      </c>
      <c r="AJ39" s="310">
        <f t="shared" si="87"/>
        <v>0.39197530864197527</v>
      </c>
      <c r="AK39" s="310">
        <f t="shared" si="88"/>
        <v>0.3271604938271605</v>
      </c>
      <c r="AL39" s="310">
        <f t="shared" si="89"/>
        <v>0.26234567901234568</v>
      </c>
      <c r="AM39" s="310">
        <f t="shared" si="90"/>
        <v>0.19753086419753085</v>
      </c>
      <c r="AN39" s="310">
        <f t="shared" si="91"/>
        <v>0.13271604938271606</v>
      </c>
      <c r="AO39" s="310">
        <f t="shared" si="92"/>
        <v>6.7901234567901245E-2</v>
      </c>
      <c r="AP39" s="311" t="str">
        <f t="shared" si="93"/>
        <v>-</v>
      </c>
      <c r="AQ39" s="311" t="str">
        <f t="shared" si="94"/>
        <v>-</v>
      </c>
      <c r="AR39" s="311" t="str">
        <f t="shared" si="95"/>
        <v>-</v>
      </c>
      <c r="AS39" s="310" t="str">
        <f t="shared" si="96"/>
        <v>-</v>
      </c>
      <c r="AT39" s="310" t="str">
        <f t="shared" si="97"/>
        <v>-</v>
      </c>
      <c r="AU39" s="310" t="str">
        <f t="shared" si="98"/>
        <v>-</v>
      </c>
      <c r="AV39" s="310" t="str">
        <f t="shared" si="99"/>
        <v>-</v>
      </c>
      <c r="AW39" s="310" t="str">
        <f t="shared" si="100"/>
        <v>-</v>
      </c>
      <c r="AX39" s="310" t="str">
        <f t="shared" si="101"/>
        <v>-</v>
      </c>
      <c r="AY39" s="311" t="str">
        <f t="shared" si="102"/>
        <v>-</v>
      </c>
      <c r="AZ39" s="311" t="str">
        <f t="shared" si="103"/>
        <v>-</v>
      </c>
      <c r="BA39" s="311" t="str">
        <f t="shared" si="104"/>
        <v>-</v>
      </c>
      <c r="BB39" s="311" t="str">
        <f t="shared" si="105"/>
        <v>-</v>
      </c>
      <c r="BC39" s="313" t="str">
        <f t="shared" si="106"/>
        <v>-</v>
      </c>
      <c r="BD39">
        <f t="shared" si="166"/>
        <v>74</v>
      </c>
      <c r="BE39">
        <f t="shared" si="166"/>
        <v>63.5</v>
      </c>
      <c r="BF39">
        <f t="shared" si="166"/>
        <v>53</v>
      </c>
      <c r="BG39">
        <f t="shared" si="166"/>
        <v>42.5</v>
      </c>
      <c r="BH39">
        <f t="shared" si="166"/>
        <v>32</v>
      </c>
      <c r="BI39">
        <f t="shared" si="166"/>
        <v>21.5</v>
      </c>
      <c r="BJ39">
        <f t="shared" si="166"/>
        <v>11</v>
      </c>
      <c r="BK39">
        <f t="shared" si="166"/>
        <v>0.5</v>
      </c>
      <c r="BL39">
        <f t="shared" si="166"/>
        <v>-10</v>
      </c>
      <c r="BM39">
        <f t="shared" si="166"/>
        <v>-20.5</v>
      </c>
      <c r="BN39">
        <f t="shared" si="166"/>
        <v>-31</v>
      </c>
      <c r="BO39">
        <f t="shared" si="166"/>
        <v>-41.5</v>
      </c>
      <c r="BP39">
        <f t="shared" si="167"/>
        <v>4.1111111111111107</v>
      </c>
      <c r="BQ39">
        <f t="shared" si="167"/>
        <v>3.5277777777777777</v>
      </c>
      <c r="BR39">
        <f t="shared" si="167"/>
        <v>2.9444444444444446</v>
      </c>
      <c r="BS39">
        <f t="shared" si="167"/>
        <v>2.3611111111111112</v>
      </c>
      <c r="BT39">
        <f t="shared" si="167"/>
        <v>1.7777777777777777</v>
      </c>
      <c r="BU39">
        <f t="shared" si="167"/>
        <v>1.1944444444444444</v>
      </c>
      <c r="BV39">
        <f t="shared" si="167"/>
        <v>0.61111111111111116</v>
      </c>
      <c r="BW39">
        <f t="shared" si="167"/>
        <v>2.7777777777777776E-2</v>
      </c>
      <c r="BX39">
        <f t="shared" si="167"/>
        <v>-0.55555555555555558</v>
      </c>
      <c r="BY39">
        <f t="shared" si="167"/>
        <v>-1.1388888888888888</v>
      </c>
      <c r="BZ39">
        <f t="shared" si="167"/>
        <v>-1.7222222222222223</v>
      </c>
      <c r="CA39">
        <f t="shared" si="167"/>
        <v>-2.3055555555555554</v>
      </c>
    </row>
    <row r="40" spans="1:79" x14ac:dyDescent="0.25">
      <c r="A40" s="848"/>
      <c r="B40" s="314" t="s">
        <v>10</v>
      </c>
      <c r="C40" s="347">
        <v>4</v>
      </c>
      <c r="D40" s="350">
        <v>18</v>
      </c>
      <c r="E40" s="314">
        <v>120</v>
      </c>
      <c r="F40" s="314">
        <v>340</v>
      </c>
      <c r="G40" s="314">
        <v>90</v>
      </c>
      <c r="H40" s="314">
        <v>165</v>
      </c>
      <c r="I40" s="314">
        <v>30</v>
      </c>
      <c r="J40" s="314">
        <v>9</v>
      </c>
      <c r="K40" s="315"/>
      <c r="L40" s="316">
        <f t="shared" si="165"/>
        <v>10</v>
      </c>
      <c r="M40" s="344">
        <f t="shared" si="21"/>
        <v>0.55555555555555558</v>
      </c>
      <c r="N40" s="317">
        <f t="shared" si="163"/>
        <v>13.333333333333334</v>
      </c>
      <c r="O40" s="318">
        <f t="shared" si="163"/>
        <v>11.666666666666666</v>
      </c>
      <c r="P40" s="318">
        <f t="shared" si="163"/>
        <v>10</v>
      </c>
      <c r="Q40" s="318">
        <f t="shared" si="163"/>
        <v>8.3333333333333339</v>
      </c>
      <c r="R40" s="318">
        <f t="shared" si="163"/>
        <v>6.666666666666667</v>
      </c>
      <c r="S40" s="318">
        <f t="shared" si="163"/>
        <v>5</v>
      </c>
      <c r="T40" s="318">
        <f t="shared" si="163"/>
        <v>3.3333333333333335</v>
      </c>
      <c r="U40" s="319" t="str">
        <f t="shared" si="163"/>
        <v>-</v>
      </c>
      <c r="V40" s="319" t="str">
        <f t="shared" si="163"/>
        <v>-</v>
      </c>
      <c r="W40" s="319" t="str">
        <f t="shared" si="163"/>
        <v>-</v>
      </c>
      <c r="X40" s="319" t="str">
        <f t="shared" si="164"/>
        <v>-</v>
      </c>
      <c r="Y40" s="320" t="str">
        <f t="shared" si="164"/>
        <v>-</v>
      </c>
      <c r="Z40" s="318" t="str">
        <f t="shared" si="164"/>
        <v>-</v>
      </c>
      <c r="AA40" s="318" t="str">
        <f t="shared" si="164"/>
        <v>-</v>
      </c>
      <c r="AB40" s="318" t="str">
        <f t="shared" si="164"/>
        <v>-</v>
      </c>
      <c r="AC40" s="318" t="str">
        <f t="shared" si="164"/>
        <v>-</v>
      </c>
      <c r="AD40" s="318" t="str">
        <f t="shared" si="164"/>
        <v>-</v>
      </c>
      <c r="AE40" s="318" t="str">
        <f t="shared" si="164"/>
        <v>-</v>
      </c>
      <c r="AF40" s="318" t="str">
        <f t="shared" si="164"/>
        <v>-</v>
      </c>
      <c r="AG40" s="319" t="str">
        <f t="shared" si="164"/>
        <v>-</v>
      </c>
      <c r="AH40" s="320" t="str">
        <f t="shared" si="164"/>
        <v>-</v>
      </c>
      <c r="AI40" s="317">
        <f t="shared" si="162"/>
        <v>0.74074074074074081</v>
      </c>
      <c r="AJ40" s="318">
        <f t="shared" si="87"/>
        <v>0.64814814814814814</v>
      </c>
      <c r="AK40" s="318">
        <f t="shared" si="88"/>
        <v>0.55555555555555558</v>
      </c>
      <c r="AL40" s="318">
        <f t="shared" si="89"/>
        <v>0.46296296296296302</v>
      </c>
      <c r="AM40" s="318">
        <f t="shared" si="90"/>
        <v>0.37037037037037041</v>
      </c>
      <c r="AN40" s="318">
        <f t="shared" si="91"/>
        <v>0.27777777777777779</v>
      </c>
      <c r="AO40" s="318">
        <f t="shared" si="92"/>
        <v>0.1851851851851852</v>
      </c>
      <c r="AP40" s="319" t="str">
        <f t="shared" si="93"/>
        <v>-</v>
      </c>
      <c r="AQ40" s="319" t="str">
        <f t="shared" si="94"/>
        <v>-</v>
      </c>
      <c r="AR40" s="319" t="str">
        <f t="shared" si="95"/>
        <v>-</v>
      </c>
      <c r="AS40" s="318" t="str">
        <f t="shared" si="96"/>
        <v>-</v>
      </c>
      <c r="AT40" s="318" t="str">
        <f t="shared" si="97"/>
        <v>-</v>
      </c>
      <c r="AU40" s="318" t="str">
        <f t="shared" si="98"/>
        <v>-</v>
      </c>
      <c r="AV40" s="318" t="str">
        <f t="shared" si="99"/>
        <v>-</v>
      </c>
      <c r="AW40" s="318" t="str">
        <f t="shared" si="100"/>
        <v>-</v>
      </c>
      <c r="AX40" s="318" t="str">
        <f t="shared" si="101"/>
        <v>-</v>
      </c>
      <c r="AY40" s="319" t="str">
        <f t="shared" si="102"/>
        <v>-</v>
      </c>
      <c r="AZ40" s="319" t="str">
        <f t="shared" si="103"/>
        <v>-</v>
      </c>
      <c r="BA40" s="319" t="str">
        <f t="shared" si="104"/>
        <v>-</v>
      </c>
      <c r="BB40" s="319" t="str">
        <f t="shared" si="105"/>
        <v>-</v>
      </c>
      <c r="BC40" s="321" t="str">
        <f t="shared" si="106"/>
        <v>-</v>
      </c>
      <c r="BD40">
        <f t="shared" si="166"/>
        <v>120</v>
      </c>
      <c r="BE40">
        <f t="shared" si="166"/>
        <v>105</v>
      </c>
      <c r="BF40">
        <f t="shared" si="166"/>
        <v>90</v>
      </c>
      <c r="BG40">
        <f t="shared" si="166"/>
        <v>75</v>
      </c>
      <c r="BH40">
        <f t="shared" si="166"/>
        <v>60</v>
      </c>
      <c r="BI40">
        <f t="shared" si="166"/>
        <v>45</v>
      </c>
      <c r="BJ40">
        <f t="shared" si="166"/>
        <v>30</v>
      </c>
      <c r="BK40">
        <f t="shared" si="166"/>
        <v>15</v>
      </c>
      <c r="BL40">
        <f t="shared" si="166"/>
        <v>0</v>
      </c>
      <c r="BM40">
        <f t="shared" si="166"/>
        <v>-15</v>
      </c>
      <c r="BN40">
        <f t="shared" si="166"/>
        <v>-30</v>
      </c>
      <c r="BO40">
        <f t="shared" si="166"/>
        <v>-45</v>
      </c>
      <c r="BP40">
        <f t="shared" si="167"/>
        <v>6.666666666666667</v>
      </c>
      <c r="BQ40">
        <f t="shared" si="167"/>
        <v>5.833333333333333</v>
      </c>
      <c r="BR40">
        <f t="shared" si="167"/>
        <v>5</v>
      </c>
      <c r="BS40">
        <f t="shared" si="167"/>
        <v>4.166666666666667</v>
      </c>
      <c r="BT40">
        <f t="shared" si="167"/>
        <v>3.3333333333333335</v>
      </c>
      <c r="BU40">
        <f t="shared" si="167"/>
        <v>2.5</v>
      </c>
      <c r="BV40">
        <f t="shared" si="167"/>
        <v>1.6666666666666667</v>
      </c>
      <c r="BW40">
        <f t="shared" si="167"/>
        <v>0.83333333333333337</v>
      </c>
      <c r="BX40">
        <f t="shared" si="167"/>
        <v>0</v>
      </c>
      <c r="BY40">
        <f t="shared" si="167"/>
        <v>-0.83333333333333337</v>
      </c>
      <c r="BZ40">
        <f t="shared" si="167"/>
        <v>-1.6666666666666667</v>
      </c>
      <c r="CA40">
        <f t="shared" si="167"/>
        <v>-2.5</v>
      </c>
    </row>
    <row r="41" spans="1:79" ht="15.75" thickBot="1" x14ac:dyDescent="0.3">
      <c r="A41" s="849"/>
      <c r="B41" s="325" t="s">
        <v>11</v>
      </c>
      <c r="C41" s="348">
        <v>6</v>
      </c>
      <c r="D41" s="351">
        <v>18</v>
      </c>
      <c r="E41" s="325">
        <v>200</v>
      </c>
      <c r="F41" s="325">
        <v>380</v>
      </c>
      <c r="G41" s="325">
        <v>90</v>
      </c>
      <c r="H41" s="362">
        <v>195</v>
      </c>
      <c r="I41" s="325">
        <v>37</v>
      </c>
      <c r="J41" s="325">
        <v>9</v>
      </c>
      <c r="K41" s="326"/>
      <c r="L41" s="327">
        <f t="shared" si="165"/>
        <v>10</v>
      </c>
      <c r="M41" s="345">
        <f t="shared" si="21"/>
        <v>0.55555555555555558</v>
      </c>
      <c r="N41" s="329">
        <f t="shared" si="163"/>
        <v>22.222222222222221</v>
      </c>
      <c r="O41" s="330">
        <f t="shared" si="163"/>
        <v>20.166666666666668</v>
      </c>
      <c r="P41" s="330">
        <f t="shared" si="163"/>
        <v>18.111111111111111</v>
      </c>
      <c r="Q41" s="330">
        <f t="shared" si="163"/>
        <v>16.055555555555557</v>
      </c>
      <c r="R41" s="330">
        <f t="shared" si="163"/>
        <v>14</v>
      </c>
      <c r="S41" s="330">
        <f t="shared" si="163"/>
        <v>11.944444444444445</v>
      </c>
      <c r="T41" s="330">
        <f t="shared" si="163"/>
        <v>9.8888888888888893</v>
      </c>
      <c r="U41" s="330">
        <f t="shared" si="163"/>
        <v>7.833333333333333</v>
      </c>
      <c r="V41" s="331" t="str">
        <f t="shared" si="163"/>
        <v>-</v>
      </c>
      <c r="W41" s="331" t="str">
        <f t="shared" si="163"/>
        <v>-</v>
      </c>
      <c r="X41" s="331" t="str">
        <f t="shared" si="164"/>
        <v>-</v>
      </c>
      <c r="Y41" s="332" t="str">
        <f t="shared" si="164"/>
        <v>-</v>
      </c>
      <c r="Z41" s="330" t="str">
        <f t="shared" si="164"/>
        <v>-</v>
      </c>
      <c r="AA41" s="330" t="str">
        <f t="shared" si="164"/>
        <v>-</v>
      </c>
      <c r="AB41" s="330" t="str">
        <f t="shared" si="164"/>
        <v>-</v>
      </c>
      <c r="AC41" s="330" t="str">
        <f t="shared" si="164"/>
        <v>-</v>
      </c>
      <c r="AD41" s="330" t="str">
        <f t="shared" si="164"/>
        <v>-</v>
      </c>
      <c r="AE41" s="330" t="str">
        <f t="shared" si="164"/>
        <v>-</v>
      </c>
      <c r="AF41" s="330" t="str">
        <f t="shared" si="164"/>
        <v>-</v>
      </c>
      <c r="AG41" s="330" t="str">
        <f t="shared" si="164"/>
        <v>-</v>
      </c>
      <c r="AH41" s="332" t="str">
        <f t="shared" si="164"/>
        <v>-</v>
      </c>
      <c r="AI41" s="329">
        <f t="shared" si="162"/>
        <v>1.2345679012345678</v>
      </c>
      <c r="AJ41" s="330">
        <f t="shared" si="87"/>
        <v>1.1203703703703705</v>
      </c>
      <c r="AK41" s="330">
        <f t="shared" si="88"/>
        <v>1.0061728395061729</v>
      </c>
      <c r="AL41" s="330">
        <f t="shared" si="89"/>
        <v>0.89197530864197538</v>
      </c>
      <c r="AM41" s="330">
        <f t="shared" si="90"/>
        <v>0.77777777777777779</v>
      </c>
      <c r="AN41" s="330">
        <f t="shared" si="91"/>
        <v>0.66358024691358031</v>
      </c>
      <c r="AO41" s="330">
        <f t="shared" si="92"/>
        <v>0.54938271604938271</v>
      </c>
      <c r="AP41" s="330">
        <f t="shared" si="93"/>
        <v>0.43518518518518517</v>
      </c>
      <c r="AQ41" s="331" t="str">
        <f t="shared" si="94"/>
        <v>-</v>
      </c>
      <c r="AR41" s="331" t="str">
        <f t="shared" si="95"/>
        <v>-</v>
      </c>
      <c r="AS41" s="330" t="str">
        <f t="shared" si="96"/>
        <v>-</v>
      </c>
      <c r="AT41" s="330" t="str">
        <f t="shared" si="97"/>
        <v>-</v>
      </c>
      <c r="AU41" s="330" t="str">
        <f t="shared" si="98"/>
        <v>-</v>
      </c>
      <c r="AV41" s="330" t="str">
        <f t="shared" si="99"/>
        <v>-</v>
      </c>
      <c r="AW41" s="330" t="str">
        <f t="shared" si="100"/>
        <v>-</v>
      </c>
      <c r="AX41" s="330" t="str">
        <f t="shared" si="101"/>
        <v>-</v>
      </c>
      <c r="AY41" s="330" t="str">
        <f t="shared" si="102"/>
        <v>-</v>
      </c>
      <c r="AZ41" s="331" t="str">
        <f t="shared" si="103"/>
        <v>-</v>
      </c>
      <c r="BA41" s="331" t="str">
        <f t="shared" si="104"/>
        <v>-</v>
      </c>
      <c r="BB41" s="331" t="str">
        <f t="shared" si="105"/>
        <v>-</v>
      </c>
      <c r="BC41" s="333" t="str">
        <f t="shared" si="106"/>
        <v>-</v>
      </c>
      <c r="BD41">
        <f t="shared" si="166"/>
        <v>200</v>
      </c>
      <c r="BE41">
        <f t="shared" si="166"/>
        <v>181.5</v>
      </c>
      <c r="BF41">
        <f t="shared" si="166"/>
        <v>163</v>
      </c>
      <c r="BG41">
        <f t="shared" si="166"/>
        <v>144.5</v>
      </c>
      <c r="BH41">
        <f t="shared" si="166"/>
        <v>126</v>
      </c>
      <c r="BI41">
        <f t="shared" si="166"/>
        <v>107.5</v>
      </c>
      <c r="BJ41">
        <f t="shared" si="166"/>
        <v>89</v>
      </c>
      <c r="BK41">
        <f t="shared" si="166"/>
        <v>70.5</v>
      </c>
      <c r="BL41">
        <f t="shared" si="166"/>
        <v>52</v>
      </c>
      <c r="BM41">
        <f t="shared" si="166"/>
        <v>33.5</v>
      </c>
      <c r="BN41">
        <f t="shared" si="166"/>
        <v>15</v>
      </c>
      <c r="BO41">
        <f t="shared" si="166"/>
        <v>-3.5</v>
      </c>
      <c r="BP41">
        <f t="shared" si="167"/>
        <v>11.111111111111111</v>
      </c>
      <c r="BQ41">
        <f t="shared" si="167"/>
        <v>10.083333333333334</v>
      </c>
      <c r="BR41">
        <f t="shared" si="167"/>
        <v>9.0555555555555554</v>
      </c>
      <c r="BS41">
        <f t="shared" si="167"/>
        <v>8.0277777777777786</v>
      </c>
      <c r="BT41">
        <f t="shared" si="167"/>
        <v>7</v>
      </c>
      <c r="BU41">
        <f t="shared" si="167"/>
        <v>5.9722222222222223</v>
      </c>
      <c r="BV41">
        <f t="shared" si="167"/>
        <v>4.9444444444444446</v>
      </c>
      <c r="BW41">
        <f t="shared" si="167"/>
        <v>3.9166666666666665</v>
      </c>
      <c r="BX41">
        <f t="shared" si="167"/>
        <v>2.8888888888888888</v>
      </c>
      <c r="BY41">
        <f t="shared" si="167"/>
        <v>1.8611111111111112</v>
      </c>
      <c r="BZ41">
        <f t="shared" si="167"/>
        <v>0.83333333333333337</v>
      </c>
      <c r="CA41">
        <f t="shared" si="167"/>
        <v>-0.19444444444444445</v>
      </c>
    </row>
    <row r="42" spans="1:79" ht="15.75" thickBot="1" x14ac:dyDescent="0.3">
      <c r="A42" s="352" t="s">
        <v>43</v>
      </c>
      <c r="B42" s="353" t="s">
        <v>24</v>
      </c>
      <c r="C42" s="354">
        <v>8</v>
      </c>
      <c r="D42" s="355">
        <v>170</v>
      </c>
      <c r="E42" s="340">
        <v>2000</v>
      </c>
      <c r="F42" s="340">
        <v>500</v>
      </c>
      <c r="G42" s="340">
        <v>400</v>
      </c>
      <c r="H42" s="340">
        <v>225</v>
      </c>
      <c r="I42" s="340">
        <v>135</v>
      </c>
      <c r="J42" s="340">
        <v>9</v>
      </c>
      <c r="K42" s="341"/>
      <c r="L42" s="342">
        <f t="shared" si="165"/>
        <v>44.444444444444443</v>
      </c>
      <c r="M42" s="356">
        <f t="shared" si="21"/>
        <v>0.26143790849673204</v>
      </c>
      <c r="N42" s="334">
        <f t="shared" si="163"/>
        <v>222.22222222222223</v>
      </c>
      <c r="O42" s="335">
        <f t="shared" si="163"/>
        <v>214.72222222222223</v>
      </c>
      <c r="P42" s="335">
        <f t="shared" si="163"/>
        <v>207.22222222222223</v>
      </c>
      <c r="Q42" s="335">
        <f t="shared" si="163"/>
        <v>199.72222222222223</v>
      </c>
      <c r="R42" s="335">
        <f t="shared" si="163"/>
        <v>192.22222222222223</v>
      </c>
      <c r="S42" s="335">
        <f t="shared" si="163"/>
        <v>184.72222222222223</v>
      </c>
      <c r="T42" s="335">
        <f t="shared" si="163"/>
        <v>177.22222222222223</v>
      </c>
      <c r="U42" s="335">
        <f t="shared" si="163"/>
        <v>169.72222222222223</v>
      </c>
      <c r="V42" s="335">
        <f t="shared" si="163"/>
        <v>162.22222222222223</v>
      </c>
      <c r="W42" s="336">
        <f t="shared" si="163"/>
        <v>154.72222222222223</v>
      </c>
      <c r="X42" s="336">
        <f t="shared" si="164"/>
        <v>147.22222222222223</v>
      </c>
      <c r="Y42" s="337" t="str">
        <f t="shared" si="164"/>
        <v>-</v>
      </c>
      <c r="Z42" s="335" t="str">
        <f t="shared" si="164"/>
        <v>-</v>
      </c>
      <c r="AA42" s="335" t="str">
        <f t="shared" si="164"/>
        <v>-</v>
      </c>
      <c r="AB42" s="335" t="str">
        <f t="shared" si="164"/>
        <v>-</v>
      </c>
      <c r="AC42" s="335" t="str">
        <f t="shared" si="164"/>
        <v>-</v>
      </c>
      <c r="AD42" s="335" t="str">
        <f t="shared" si="164"/>
        <v>-</v>
      </c>
      <c r="AE42" s="335" t="str">
        <f t="shared" si="164"/>
        <v>-</v>
      </c>
      <c r="AF42" s="335" t="str">
        <f t="shared" si="164"/>
        <v>-</v>
      </c>
      <c r="AG42" s="335" t="str">
        <f t="shared" si="164"/>
        <v>-</v>
      </c>
      <c r="AH42" s="338" t="str">
        <f t="shared" si="164"/>
        <v>-</v>
      </c>
      <c r="AI42" s="334">
        <f t="shared" si="162"/>
        <v>1.3071895424836601</v>
      </c>
      <c r="AJ42" s="335">
        <f t="shared" si="87"/>
        <v>1.2630718954248366</v>
      </c>
      <c r="AK42" s="335">
        <f t="shared" si="88"/>
        <v>1.2189542483660132</v>
      </c>
      <c r="AL42" s="335">
        <f t="shared" si="89"/>
        <v>1.1748366013071896</v>
      </c>
      <c r="AM42" s="335">
        <f t="shared" si="90"/>
        <v>1.130718954248366</v>
      </c>
      <c r="AN42" s="335">
        <f t="shared" si="91"/>
        <v>1.0866013071895426</v>
      </c>
      <c r="AO42" s="335">
        <f t="shared" si="92"/>
        <v>1.042483660130719</v>
      </c>
      <c r="AP42" s="335">
        <f t="shared" si="93"/>
        <v>0.99836601307189543</v>
      </c>
      <c r="AQ42" s="335">
        <f t="shared" si="94"/>
        <v>0.95424836601307195</v>
      </c>
      <c r="AR42" s="336">
        <f t="shared" si="95"/>
        <v>0.91013071895424835</v>
      </c>
      <c r="AS42" s="335">
        <f t="shared" si="96"/>
        <v>0.86601307189542487</v>
      </c>
      <c r="AT42" s="335" t="str">
        <f t="shared" si="97"/>
        <v>-</v>
      </c>
      <c r="AU42" s="335" t="str">
        <f t="shared" si="98"/>
        <v>-</v>
      </c>
      <c r="AV42" s="335" t="str">
        <f t="shared" si="99"/>
        <v>-</v>
      </c>
      <c r="AW42" s="335" t="str">
        <f t="shared" si="100"/>
        <v>-</v>
      </c>
      <c r="AX42" s="335" t="str">
        <f t="shared" si="101"/>
        <v>-</v>
      </c>
      <c r="AY42" s="335" t="str">
        <f t="shared" si="102"/>
        <v>-</v>
      </c>
      <c r="AZ42" s="335" t="str">
        <f t="shared" si="103"/>
        <v>-</v>
      </c>
      <c r="BA42" s="336" t="str">
        <f t="shared" si="104"/>
        <v>-</v>
      </c>
      <c r="BB42" s="336" t="str">
        <f t="shared" si="105"/>
        <v>-</v>
      </c>
      <c r="BC42" s="339" t="str">
        <f t="shared" si="106"/>
        <v>-</v>
      </c>
      <c r="BD42">
        <f t="shared" si="166"/>
        <v>2000</v>
      </c>
      <c r="BE42">
        <f t="shared" si="166"/>
        <v>1932.5</v>
      </c>
      <c r="BF42">
        <f t="shared" si="166"/>
        <v>1865</v>
      </c>
      <c r="BG42">
        <f t="shared" si="166"/>
        <v>1797.5</v>
      </c>
      <c r="BH42">
        <f t="shared" si="166"/>
        <v>1730</v>
      </c>
      <c r="BI42">
        <f t="shared" si="166"/>
        <v>1662.5</v>
      </c>
      <c r="BJ42">
        <f t="shared" si="166"/>
        <v>1595</v>
      </c>
      <c r="BK42">
        <f t="shared" si="166"/>
        <v>1527.5</v>
      </c>
      <c r="BL42">
        <f t="shared" si="166"/>
        <v>1460</v>
      </c>
      <c r="BM42">
        <f t="shared" si="166"/>
        <v>1392.5</v>
      </c>
      <c r="BN42">
        <f t="shared" si="166"/>
        <v>1325</v>
      </c>
      <c r="BO42">
        <f t="shared" si="166"/>
        <v>1257.5</v>
      </c>
      <c r="BP42">
        <f t="shared" si="167"/>
        <v>11.764705882352942</v>
      </c>
      <c r="BQ42">
        <f t="shared" si="167"/>
        <v>11.367647058823529</v>
      </c>
      <c r="BR42">
        <f t="shared" si="167"/>
        <v>10.970588235294118</v>
      </c>
      <c r="BS42">
        <f t="shared" si="167"/>
        <v>10.573529411764707</v>
      </c>
      <c r="BT42">
        <f t="shared" si="167"/>
        <v>10.176470588235293</v>
      </c>
      <c r="BU42">
        <f t="shared" si="167"/>
        <v>9.7794117647058822</v>
      </c>
      <c r="BV42">
        <f t="shared" si="167"/>
        <v>9.382352941176471</v>
      </c>
      <c r="BW42">
        <f t="shared" si="167"/>
        <v>8.985294117647058</v>
      </c>
      <c r="BX42">
        <f t="shared" si="167"/>
        <v>8.5882352941176467</v>
      </c>
      <c r="BY42">
        <f t="shared" si="167"/>
        <v>8.1911764705882355</v>
      </c>
      <c r="BZ42">
        <f t="shared" si="167"/>
        <v>7.7941176470588234</v>
      </c>
      <c r="CA42">
        <f t="shared" si="167"/>
        <v>7.3970588235294121</v>
      </c>
    </row>
    <row r="43" spans="1:79" x14ac:dyDescent="0.25">
      <c r="A43" s="840" t="s">
        <v>187</v>
      </c>
      <c r="B43" s="230" t="s">
        <v>9</v>
      </c>
      <c r="C43" s="231">
        <v>0</v>
      </c>
      <c r="D43" s="232">
        <v>12</v>
      </c>
      <c r="E43" s="233">
        <v>4</v>
      </c>
      <c r="F43" s="233">
        <v>300</v>
      </c>
      <c r="G43" s="779">
        <v>8</v>
      </c>
      <c r="H43" s="780">
        <v>250</v>
      </c>
      <c r="I43" s="775">
        <v>0</v>
      </c>
      <c r="J43" s="775">
        <v>0.45</v>
      </c>
      <c r="K43" s="231"/>
      <c r="L43" s="212">
        <f t="shared" si="165"/>
        <v>17.777777777777779</v>
      </c>
      <c r="M43" s="213">
        <f t="shared" si="21"/>
        <v>1.4814814814814816</v>
      </c>
      <c r="N43" s="176">
        <f t="shared" ref="N43:W52" si="168">IF(AND(N$2&lt;=$F43,($E43-$I43*N$2/100)/$J43&gt;0),($E43-$I43*N$2/100)/$J43,"-")</f>
        <v>8.8888888888888893</v>
      </c>
      <c r="O43" s="177">
        <f t="shared" si="168"/>
        <v>8.8888888888888893</v>
      </c>
      <c r="P43" s="177">
        <f t="shared" si="168"/>
        <v>8.8888888888888893</v>
      </c>
      <c r="Q43" s="177">
        <f t="shared" si="168"/>
        <v>8.8888888888888893</v>
      </c>
      <c r="R43" s="177">
        <f t="shared" si="168"/>
        <v>8.8888888888888893</v>
      </c>
      <c r="S43" s="177">
        <f t="shared" si="168"/>
        <v>8.8888888888888893</v>
      </c>
      <c r="T43" s="177">
        <f t="shared" si="168"/>
        <v>8.8888888888888893</v>
      </c>
      <c r="U43" s="177" t="str">
        <f t="shared" si="168"/>
        <v>-</v>
      </c>
      <c r="V43" s="177" t="str">
        <f t="shared" si="168"/>
        <v>-</v>
      </c>
      <c r="W43" s="177" t="str">
        <f t="shared" si="168"/>
        <v>-</v>
      </c>
      <c r="X43" s="177" t="str">
        <f t="shared" ref="X43:AH52" si="169">IF(AND(X$2&lt;=$F43,($E43-$I43*X$2/100)/$J43&gt;0),($E43-$I43*X$2/100)/$J43,"-")</f>
        <v>-</v>
      </c>
      <c r="Y43" s="178" t="str">
        <f t="shared" si="169"/>
        <v>-</v>
      </c>
      <c r="Z43" s="177" t="str">
        <f t="shared" si="169"/>
        <v>-</v>
      </c>
      <c r="AA43" s="177" t="str">
        <f t="shared" si="169"/>
        <v>-</v>
      </c>
      <c r="AB43" s="177" t="str">
        <f t="shared" si="169"/>
        <v>-</v>
      </c>
      <c r="AC43" s="177" t="str">
        <f t="shared" si="169"/>
        <v>-</v>
      </c>
      <c r="AD43" s="177" t="str">
        <f t="shared" si="169"/>
        <v>-</v>
      </c>
      <c r="AE43" s="177" t="str">
        <f t="shared" si="169"/>
        <v>-</v>
      </c>
      <c r="AF43" s="177" t="str">
        <f t="shared" si="169"/>
        <v>-</v>
      </c>
      <c r="AG43" s="177" t="str">
        <f t="shared" si="169"/>
        <v>-</v>
      </c>
      <c r="AH43" s="178" t="str">
        <f t="shared" si="169"/>
        <v>-</v>
      </c>
      <c r="AI43" s="176">
        <f t="shared" si="86"/>
        <v>0.74074074074074081</v>
      </c>
      <c r="AJ43" s="177">
        <f t="shared" si="87"/>
        <v>0.74074074074074081</v>
      </c>
      <c r="AK43" s="177">
        <f t="shared" si="88"/>
        <v>0.74074074074074081</v>
      </c>
      <c r="AL43" s="177">
        <f t="shared" si="89"/>
        <v>0.74074074074074081</v>
      </c>
      <c r="AM43" s="177">
        <f t="shared" si="90"/>
        <v>0.74074074074074081</v>
      </c>
      <c r="AN43" s="177">
        <f t="shared" si="91"/>
        <v>0.74074074074074081</v>
      </c>
      <c r="AO43" s="177">
        <f t="shared" si="92"/>
        <v>0.74074074074074081</v>
      </c>
      <c r="AP43" s="177" t="str">
        <f t="shared" si="93"/>
        <v>-</v>
      </c>
      <c r="AQ43" s="177" t="str">
        <f t="shared" si="94"/>
        <v>-</v>
      </c>
      <c r="AR43" s="177" t="str">
        <f t="shared" si="95"/>
        <v>-</v>
      </c>
      <c r="AS43" s="177" t="str">
        <f t="shared" si="96"/>
        <v>-</v>
      </c>
      <c r="AT43" s="177" t="str">
        <f t="shared" si="97"/>
        <v>-</v>
      </c>
      <c r="AU43" s="177" t="str">
        <f t="shared" si="98"/>
        <v>-</v>
      </c>
      <c r="AV43" s="177" t="str">
        <f t="shared" si="99"/>
        <v>-</v>
      </c>
      <c r="AW43" s="177" t="str">
        <f t="shared" si="100"/>
        <v>-</v>
      </c>
      <c r="AX43" s="177" t="str">
        <f t="shared" si="101"/>
        <v>-</v>
      </c>
      <c r="AY43" s="177" t="str">
        <f t="shared" si="102"/>
        <v>-</v>
      </c>
      <c r="AZ43" s="177" t="str">
        <f t="shared" si="103"/>
        <v>-</v>
      </c>
      <c r="BA43" s="177" t="str">
        <f t="shared" si="104"/>
        <v>-</v>
      </c>
      <c r="BB43" s="177" t="str">
        <f t="shared" si="105"/>
        <v>-</v>
      </c>
      <c r="BC43" s="204" t="str">
        <f t="shared" si="106"/>
        <v>-</v>
      </c>
      <c r="BD43">
        <f t="shared" si="166"/>
        <v>4</v>
      </c>
      <c r="BE43">
        <f t="shared" si="166"/>
        <v>4</v>
      </c>
      <c r="BF43">
        <f t="shared" si="166"/>
        <v>4</v>
      </c>
      <c r="BG43">
        <f t="shared" si="166"/>
        <v>4</v>
      </c>
      <c r="BH43">
        <f t="shared" si="166"/>
        <v>4</v>
      </c>
      <c r="BI43">
        <f t="shared" si="166"/>
        <v>4</v>
      </c>
      <c r="BJ43">
        <f t="shared" si="166"/>
        <v>4</v>
      </c>
      <c r="BK43">
        <f t="shared" si="166"/>
        <v>4</v>
      </c>
      <c r="BL43">
        <f t="shared" si="166"/>
        <v>4</v>
      </c>
      <c r="BM43">
        <f t="shared" si="166"/>
        <v>4</v>
      </c>
      <c r="BN43">
        <f t="shared" si="166"/>
        <v>4</v>
      </c>
      <c r="BO43">
        <f t="shared" si="166"/>
        <v>4</v>
      </c>
      <c r="BP43">
        <f t="shared" si="150"/>
        <v>0.33333333333333331</v>
      </c>
      <c r="BQ43">
        <f t="shared" si="151"/>
        <v>0.33333333333333331</v>
      </c>
      <c r="BR43">
        <f t="shared" si="152"/>
        <v>0.33333333333333331</v>
      </c>
      <c r="BS43">
        <f t="shared" si="153"/>
        <v>0.33333333333333331</v>
      </c>
      <c r="BT43">
        <f t="shared" si="154"/>
        <v>0.33333333333333331</v>
      </c>
      <c r="BU43">
        <f t="shared" si="155"/>
        <v>0.33333333333333331</v>
      </c>
      <c r="BV43">
        <f t="shared" si="156"/>
        <v>0.33333333333333331</v>
      </c>
      <c r="BW43">
        <f t="shared" si="157"/>
        <v>0.33333333333333331</v>
      </c>
      <c r="BX43">
        <f t="shared" si="158"/>
        <v>0.33333333333333331</v>
      </c>
      <c r="BY43">
        <f t="shared" si="159"/>
        <v>0.33333333333333331</v>
      </c>
      <c r="BZ43">
        <f t="shared" si="160"/>
        <v>0.33333333333333331</v>
      </c>
      <c r="CA43">
        <f t="shared" si="161"/>
        <v>0.33333333333333331</v>
      </c>
    </row>
    <row r="44" spans="1:79" ht="15.75" thickBot="1" x14ac:dyDescent="0.3">
      <c r="A44" s="841"/>
      <c r="B44" s="235" t="s">
        <v>10</v>
      </c>
      <c r="C44" s="236">
        <v>1</v>
      </c>
      <c r="D44" s="237">
        <v>12</v>
      </c>
      <c r="E44" s="238">
        <v>4</v>
      </c>
      <c r="F44" s="238">
        <v>300</v>
      </c>
      <c r="G44" s="781">
        <v>8</v>
      </c>
      <c r="H44" s="782">
        <v>300</v>
      </c>
      <c r="I44" s="776">
        <v>0</v>
      </c>
      <c r="J44" s="776">
        <v>0.42499999999999999</v>
      </c>
      <c r="K44" s="236"/>
      <c r="L44" s="214">
        <f t="shared" si="165"/>
        <v>18.823529411764707</v>
      </c>
      <c r="M44" s="215">
        <f t="shared" si="21"/>
        <v>1.5686274509803921</v>
      </c>
      <c r="N44" s="179">
        <f t="shared" si="168"/>
        <v>9.4117647058823533</v>
      </c>
      <c r="O44" s="180">
        <f t="shared" si="168"/>
        <v>9.4117647058823533</v>
      </c>
      <c r="P44" s="180">
        <f t="shared" si="168"/>
        <v>9.4117647058823533</v>
      </c>
      <c r="Q44" s="180">
        <f t="shared" si="168"/>
        <v>9.4117647058823533</v>
      </c>
      <c r="R44" s="180">
        <f t="shared" si="168"/>
        <v>9.4117647058823533</v>
      </c>
      <c r="S44" s="180">
        <f t="shared" si="168"/>
        <v>9.4117647058823533</v>
      </c>
      <c r="T44" s="180">
        <f t="shared" si="168"/>
        <v>9.4117647058823533</v>
      </c>
      <c r="U44" s="180" t="str">
        <f t="shared" si="168"/>
        <v>-</v>
      </c>
      <c r="V44" s="180" t="str">
        <f t="shared" si="168"/>
        <v>-</v>
      </c>
      <c r="W44" s="180" t="str">
        <f t="shared" si="168"/>
        <v>-</v>
      </c>
      <c r="X44" s="180" t="str">
        <f t="shared" si="169"/>
        <v>-</v>
      </c>
      <c r="Y44" s="181" t="str">
        <f t="shared" si="169"/>
        <v>-</v>
      </c>
      <c r="Z44" s="180" t="str">
        <f t="shared" si="169"/>
        <v>-</v>
      </c>
      <c r="AA44" s="180" t="str">
        <f t="shared" si="169"/>
        <v>-</v>
      </c>
      <c r="AB44" s="180" t="str">
        <f t="shared" si="169"/>
        <v>-</v>
      </c>
      <c r="AC44" s="180" t="str">
        <f t="shared" si="169"/>
        <v>-</v>
      </c>
      <c r="AD44" s="180" t="str">
        <f t="shared" si="169"/>
        <v>-</v>
      </c>
      <c r="AE44" s="180" t="str">
        <f t="shared" si="169"/>
        <v>-</v>
      </c>
      <c r="AF44" s="180" t="str">
        <f t="shared" si="169"/>
        <v>-</v>
      </c>
      <c r="AG44" s="180" t="str">
        <f t="shared" si="169"/>
        <v>-</v>
      </c>
      <c r="AH44" s="181" t="str">
        <f t="shared" si="169"/>
        <v>-</v>
      </c>
      <c r="AI44" s="179">
        <f t="shared" si="86"/>
        <v>0.78431372549019607</v>
      </c>
      <c r="AJ44" s="180">
        <f t="shared" si="87"/>
        <v>0.78431372549019607</v>
      </c>
      <c r="AK44" s="180">
        <f t="shared" si="88"/>
        <v>0.78431372549019607</v>
      </c>
      <c r="AL44" s="180">
        <f t="shared" si="89"/>
        <v>0.78431372549019607</v>
      </c>
      <c r="AM44" s="180">
        <f t="shared" si="90"/>
        <v>0.78431372549019607</v>
      </c>
      <c r="AN44" s="180">
        <f t="shared" si="91"/>
        <v>0.78431372549019607</v>
      </c>
      <c r="AO44" s="180">
        <f t="shared" si="92"/>
        <v>0.78431372549019607</v>
      </c>
      <c r="AP44" s="180" t="str">
        <f t="shared" si="93"/>
        <v>-</v>
      </c>
      <c r="AQ44" s="180" t="str">
        <f t="shared" si="94"/>
        <v>-</v>
      </c>
      <c r="AR44" s="180" t="str">
        <f t="shared" si="95"/>
        <v>-</v>
      </c>
      <c r="AS44" s="180" t="str">
        <f t="shared" si="96"/>
        <v>-</v>
      </c>
      <c r="AT44" s="180" t="str">
        <f t="shared" si="97"/>
        <v>-</v>
      </c>
      <c r="AU44" s="180" t="str">
        <f t="shared" si="98"/>
        <v>-</v>
      </c>
      <c r="AV44" s="180" t="str">
        <f t="shared" si="99"/>
        <v>-</v>
      </c>
      <c r="AW44" s="180" t="str">
        <f t="shared" si="100"/>
        <v>-</v>
      </c>
      <c r="AX44" s="180" t="str">
        <f t="shared" si="101"/>
        <v>-</v>
      </c>
      <c r="AY44" s="180" t="str">
        <f t="shared" si="102"/>
        <v>-</v>
      </c>
      <c r="AZ44" s="180" t="str">
        <f t="shared" si="103"/>
        <v>-</v>
      </c>
      <c r="BA44" s="180" t="str">
        <f t="shared" si="104"/>
        <v>-</v>
      </c>
      <c r="BB44" s="180" t="str">
        <f t="shared" si="105"/>
        <v>-</v>
      </c>
      <c r="BC44" s="205" t="str">
        <f t="shared" si="106"/>
        <v>-</v>
      </c>
    </row>
    <row r="45" spans="1:79" x14ac:dyDescent="0.25">
      <c r="A45" s="835" t="s">
        <v>188</v>
      </c>
      <c r="B45" s="240" t="s">
        <v>10</v>
      </c>
      <c r="C45" s="241">
        <v>2</v>
      </c>
      <c r="D45" s="242">
        <v>12</v>
      </c>
      <c r="E45" s="243">
        <v>5</v>
      </c>
      <c r="F45" s="243">
        <v>450</v>
      </c>
      <c r="G45" s="783">
        <v>10</v>
      </c>
      <c r="H45" s="784">
        <v>350</v>
      </c>
      <c r="I45" s="777">
        <v>0</v>
      </c>
      <c r="J45" s="777">
        <v>0.4</v>
      </c>
      <c r="K45" s="241"/>
      <c r="L45" s="216">
        <f t="shared" si="165"/>
        <v>25</v>
      </c>
      <c r="M45" s="217">
        <f t="shared" si="21"/>
        <v>2.0833333333333335</v>
      </c>
      <c r="N45" s="182">
        <f t="shared" si="168"/>
        <v>12.5</v>
      </c>
      <c r="O45" s="183">
        <f t="shared" si="168"/>
        <v>12.5</v>
      </c>
      <c r="P45" s="183">
        <f t="shared" si="168"/>
        <v>12.5</v>
      </c>
      <c r="Q45" s="183">
        <f t="shared" si="168"/>
        <v>12.5</v>
      </c>
      <c r="R45" s="183">
        <f t="shared" si="168"/>
        <v>12.5</v>
      </c>
      <c r="S45" s="183">
        <f t="shared" si="168"/>
        <v>12.5</v>
      </c>
      <c r="T45" s="183">
        <f t="shared" si="168"/>
        <v>12.5</v>
      </c>
      <c r="U45" s="183">
        <f t="shared" si="168"/>
        <v>12.5</v>
      </c>
      <c r="V45" s="183">
        <f t="shared" si="168"/>
        <v>12.5</v>
      </c>
      <c r="W45" s="183">
        <f t="shared" si="168"/>
        <v>12.5</v>
      </c>
      <c r="X45" s="183" t="str">
        <f t="shared" si="169"/>
        <v>-</v>
      </c>
      <c r="Y45" s="184" t="str">
        <f t="shared" si="169"/>
        <v>-</v>
      </c>
      <c r="Z45" s="183" t="str">
        <f t="shared" si="169"/>
        <v>-</v>
      </c>
      <c r="AA45" s="183" t="str">
        <f t="shared" si="169"/>
        <v>-</v>
      </c>
      <c r="AB45" s="183" t="str">
        <f t="shared" si="169"/>
        <v>-</v>
      </c>
      <c r="AC45" s="183" t="str">
        <f t="shared" si="169"/>
        <v>-</v>
      </c>
      <c r="AD45" s="183" t="str">
        <f t="shared" si="169"/>
        <v>-</v>
      </c>
      <c r="AE45" s="183" t="str">
        <f t="shared" si="169"/>
        <v>-</v>
      </c>
      <c r="AF45" s="183" t="str">
        <f t="shared" si="169"/>
        <v>-</v>
      </c>
      <c r="AG45" s="183" t="str">
        <f t="shared" si="169"/>
        <v>-</v>
      </c>
      <c r="AH45" s="184" t="str">
        <f t="shared" si="169"/>
        <v>-</v>
      </c>
      <c r="AI45" s="182">
        <f t="shared" si="86"/>
        <v>1.0416666666666667</v>
      </c>
      <c r="AJ45" s="183">
        <f t="shared" si="87"/>
        <v>1.0416666666666667</v>
      </c>
      <c r="AK45" s="183">
        <f t="shared" si="88"/>
        <v>1.0416666666666667</v>
      </c>
      <c r="AL45" s="185">
        <f t="shared" si="89"/>
        <v>1.0416666666666667</v>
      </c>
      <c r="AM45" s="185">
        <f t="shared" si="90"/>
        <v>1.0416666666666667</v>
      </c>
      <c r="AN45" s="185">
        <f t="shared" si="91"/>
        <v>1.0416666666666667</v>
      </c>
      <c r="AO45" s="185">
        <f t="shared" si="92"/>
        <v>1.0416666666666667</v>
      </c>
      <c r="AP45" s="185">
        <f t="shared" si="93"/>
        <v>1.0416666666666667</v>
      </c>
      <c r="AQ45" s="185">
        <f t="shared" si="94"/>
        <v>1.0416666666666667</v>
      </c>
      <c r="AR45" s="185">
        <f t="shared" si="95"/>
        <v>1.0416666666666667</v>
      </c>
      <c r="AS45" s="183" t="str">
        <f t="shared" si="96"/>
        <v>-</v>
      </c>
      <c r="AT45" s="183" t="str">
        <f t="shared" si="97"/>
        <v>-</v>
      </c>
      <c r="AU45" s="185" t="str">
        <f t="shared" si="98"/>
        <v>-</v>
      </c>
      <c r="AV45" s="185" t="str">
        <f t="shared" si="99"/>
        <v>-</v>
      </c>
      <c r="AW45" s="185" t="str">
        <f t="shared" si="100"/>
        <v>-</v>
      </c>
      <c r="AX45" s="185" t="str">
        <f t="shared" si="101"/>
        <v>-</v>
      </c>
      <c r="AY45" s="185" t="str">
        <f t="shared" si="102"/>
        <v>-</v>
      </c>
      <c r="AZ45" s="185" t="str">
        <f t="shared" si="103"/>
        <v>-</v>
      </c>
      <c r="BA45" s="185" t="str">
        <f t="shared" si="104"/>
        <v>-</v>
      </c>
      <c r="BB45" s="185" t="str">
        <f t="shared" si="105"/>
        <v>-</v>
      </c>
      <c r="BC45" s="206" t="str">
        <f t="shared" si="106"/>
        <v>-</v>
      </c>
      <c r="BD45">
        <f t="shared" ref="BD45:BO56" si="170">$E45-$I45*BD$2/100</f>
        <v>5</v>
      </c>
      <c r="BE45">
        <f t="shared" si="170"/>
        <v>5</v>
      </c>
      <c r="BF45">
        <f t="shared" si="170"/>
        <v>5</v>
      </c>
      <c r="BG45">
        <f t="shared" si="170"/>
        <v>5</v>
      </c>
      <c r="BH45">
        <f t="shared" si="170"/>
        <v>5</v>
      </c>
      <c r="BI45">
        <f t="shared" si="170"/>
        <v>5</v>
      </c>
      <c r="BJ45">
        <f t="shared" si="170"/>
        <v>5</v>
      </c>
      <c r="BK45">
        <f t="shared" si="170"/>
        <v>5</v>
      </c>
      <c r="BL45">
        <f t="shared" si="170"/>
        <v>5</v>
      </c>
      <c r="BM45">
        <f t="shared" si="170"/>
        <v>5</v>
      </c>
      <c r="BN45">
        <f t="shared" si="170"/>
        <v>5</v>
      </c>
      <c r="BO45">
        <f t="shared" si="170"/>
        <v>5</v>
      </c>
      <c r="BP45">
        <f t="shared" si="150"/>
        <v>0.41666666666666669</v>
      </c>
      <c r="BQ45">
        <f t="shared" si="151"/>
        <v>0.41666666666666669</v>
      </c>
      <c r="BR45">
        <f t="shared" si="152"/>
        <v>0.41666666666666669</v>
      </c>
      <c r="BS45">
        <f t="shared" si="153"/>
        <v>0.41666666666666669</v>
      </c>
      <c r="BT45">
        <f t="shared" si="154"/>
        <v>0.41666666666666669</v>
      </c>
      <c r="BU45">
        <f t="shared" si="155"/>
        <v>0.41666666666666669</v>
      </c>
      <c r="BV45">
        <f t="shared" si="156"/>
        <v>0.41666666666666669</v>
      </c>
      <c r="BW45">
        <f t="shared" si="157"/>
        <v>0.41666666666666669</v>
      </c>
      <c r="BX45">
        <f t="shared" si="158"/>
        <v>0.41666666666666669</v>
      </c>
      <c r="BY45">
        <f t="shared" si="159"/>
        <v>0.41666666666666669</v>
      </c>
      <c r="BZ45">
        <f t="shared" si="160"/>
        <v>0.41666666666666669</v>
      </c>
      <c r="CA45">
        <f t="shared" si="161"/>
        <v>0.41666666666666669</v>
      </c>
    </row>
    <row r="46" spans="1:79" x14ac:dyDescent="0.25">
      <c r="A46" s="836"/>
      <c r="B46" s="244" t="s">
        <v>10</v>
      </c>
      <c r="C46" s="245">
        <v>3</v>
      </c>
      <c r="D46" s="242">
        <v>12</v>
      </c>
      <c r="E46" s="247">
        <v>5</v>
      </c>
      <c r="F46" s="243">
        <v>450</v>
      </c>
      <c r="G46" s="785">
        <v>10</v>
      </c>
      <c r="H46" s="786">
        <v>400</v>
      </c>
      <c r="I46" s="778">
        <v>0</v>
      </c>
      <c r="J46" s="778">
        <v>0.375</v>
      </c>
      <c r="K46" s="245"/>
      <c r="L46" s="218">
        <f t="shared" si="165"/>
        <v>26.666666666666668</v>
      </c>
      <c r="M46" s="219">
        <f t="shared" si="21"/>
        <v>2.2222222222222223</v>
      </c>
      <c r="N46" s="186">
        <f t="shared" si="168"/>
        <v>13.333333333333334</v>
      </c>
      <c r="O46" s="187">
        <f t="shared" si="168"/>
        <v>13.333333333333334</v>
      </c>
      <c r="P46" s="187">
        <f t="shared" si="168"/>
        <v>13.333333333333334</v>
      </c>
      <c r="Q46" s="187">
        <f t="shared" si="168"/>
        <v>13.333333333333334</v>
      </c>
      <c r="R46" s="187">
        <f t="shared" si="168"/>
        <v>13.333333333333334</v>
      </c>
      <c r="S46" s="187">
        <f t="shared" si="168"/>
        <v>13.333333333333334</v>
      </c>
      <c r="T46" s="187">
        <f t="shared" si="168"/>
        <v>13.333333333333334</v>
      </c>
      <c r="U46" s="187">
        <f t="shared" si="168"/>
        <v>13.333333333333334</v>
      </c>
      <c r="V46" s="187">
        <f t="shared" si="168"/>
        <v>13.333333333333334</v>
      </c>
      <c r="W46" s="187">
        <f t="shared" si="168"/>
        <v>13.333333333333334</v>
      </c>
      <c r="X46" s="187" t="str">
        <f t="shared" si="169"/>
        <v>-</v>
      </c>
      <c r="Y46" s="188" t="str">
        <f t="shared" si="169"/>
        <v>-</v>
      </c>
      <c r="Z46" s="187" t="str">
        <f t="shared" si="169"/>
        <v>-</v>
      </c>
      <c r="AA46" s="187" t="str">
        <f t="shared" si="169"/>
        <v>-</v>
      </c>
      <c r="AB46" s="187" t="str">
        <f t="shared" si="169"/>
        <v>-</v>
      </c>
      <c r="AC46" s="187" t="str">
        <f t="shared" si="169"/>
        <v>-</v>
      </c>
      <c r="AD46" s="187" t="str">
        <f t="shared" si="169"/>
        <v>-</v>
      </c>
      <c r="AE46" s="187" t="str">
        <f t="shared" si="169"/>
        <v>-</v>
      </c>
      <c r="AF46" s="187" t="str">
        <f t="shared" si="169"/>
        <v>-</v>
      </c>
      <c r="AG46" s="187" t="str">
        <f t="shared" si="169"/>
        <v>-</v>
      </c>
      <c r="AH46" s="188" t="str">
        <f t="shared" si="169"/>
        <v>-</v>
      </c>
      <c r="AI46" s="186">
        <f t="shared" si="86"/>
        <v>1.1111111111111112</v>
      </c>
      <c r="AJ46" s="187">
        <f t="shared" si="87"/>
        <v>1.1111111111111112</v>
      </c>
      <c r="AK46" s="187">
        <f t="shared" si="88"/>
        <v>1.1111111111111112</v>
      </c>
      <c r="AL46" s="189">
        <f t="shared" si="89"/>
        <v>1.1111111111111112</v>
      </c>
      <c r="AM46" s="189">
        <f t="shared" si="90"/>
        <v>1.1111111111111112</v>
      </c>
      <c r="AN46" s="189">
        <f t="shared" si="91"/>
        <v>1.1111111111111112</v>
      </c>
      <c r="AO46" s="189">
        <f t="shared" si="92"/>
        <v>1.1111111111111112</v>
      </c>
      <c r="AP46" s="189">
        <f t="shared" si="93"/>
        <v>1.1111111111111112</v>
      </c>
      <c r="AQ46" s="189">
        <f t="shared" si="94"/>
        <v>1.1111111111111112</v>
      </c>
      <c r="AR46" s="189">
        <f t="shared" si="95"/>
        <v>1.1111111111111112</v>
      </c>
      <c r="AS46" s="187" t="str">
        <f t="shared" si="96"/>
        <v>-</v>
      </c>
      <c r="AT46" s="187" t="str">
        <f t="shared" si="97"/>
        <v>-</v>
      </c>
      <c r="AU46" s="189" t="str">
        <f t="shared" si="98"/>
        <v>-</v>
      </c>
      <c r="AV46" s="189" t="str">
        <f t="shared" si="99"/>
        <v>-</v>
      </c>
      <c r="AW46" s="189" t="str">
        <f t="shared" si="100"/>
        <v>-</v>
      </c>
      <c r="AX46" s="189" t="str">
        <f t="shared" si="101"/>
        <v>-</v>
      </c>
      <c r="AY46" s="189" t="str">
        <f t="shared" si="102"/>
        <v>-</v>
      </c>
      <c r="AZ46" s="189" t="str">
        <f t="shared" si="103"/>
        <v>-</v>
      </c>
      <c r="BA46" s="189" t="str">
        <f t="shared" si="104"/>
        <v>-</v>
      </c>
      <c r="BB46" s="189" t="str">
        <f t="shared" si="105"/>
        <v>-</v>
      </c>
      <c r="BC46" s="207" t="str">
        <f t="shared" si="106"/>
        <v>-</v>
      </c>
      <c r="BD46">
        <f t="shared" si="170"/>
        <v>5</v>
      </c>
      <c r="BE46">
        <f t="shared" si="170"/>
        <v>5</v>
      </c>
      <c r="BF46">
        <f t="shared" si="170"/>
        <v>5</v>
      </c>
      <c r="BG46">
        <f t="shared" si="170"/>
        <v>5</v>
      </c>
      <c r="BH46">
        <f t="shared" si="170"/>
        <v>5</v>
      </c>
      <c r="BI46">
        <f t="shared" si="170"/>
        <v>5</v>
      </c>
      <c r="BJ46">
        <f t="shared" si="170"/>
        <v>5</v>
      </c>
      <c r="BK46">
        <f t="shared" si="170"/>
        <v>5</v>
      </c>
      <c r="BL46">
        <f t="shared" si="170"/>
        <v>5</v>
      </c>
      <c r="BM46">
        <f t="shared" si="170"/>
        <v>5</v>
      </c>
      <c r="BN46">
        <f t="shared" si="170"/>
        <v>5</v>
      </c>
      <c r="BO46">
        <f t="shared" si="170"/>
        <v>5</v>
      </c>
      <c r="BP46">
        <f t="shared" si="150"/>
        <v>0.41666666666666669</v>
      </c>
      <c r="BQ46">
        <f t="shared" si="151"/>
        <v>0.41666666666666669</v>
      </c>
      <c r="BR46">
        <f t="shared" si="152"/>
        <v>0.41666666666666669</v>
      </c>
      <c r="BS46">
        <f t="shared" si="153"/>
        <v>0.41666666666666669</v>
      </c>
      <c r="BT46">
        <f t="shared" si="154"/>
        <v>0.41666666666666669</v>
      </c>
      <c r="BU46">
        <f t="shared" si="155"/>
        <v>0.41666666666666669</v>
      </c>
      <c r="BV46">
        <f t="shared" si="156"/>
        <v>0.41666666666666669</v>
      </c>
      <c r="BW46">
        <f t="shared" si="157"/>
        <v>0.41666666666666669</v>
      </c>
      <c r="BX46">
        <f t="shared" si="158"/>
        <v>0.41666666666666669</v>
      </c>
      <c r="BY46">
        <f t="shared" si="159"/>
        <v>0.41666666666666669</v>
      </c>
      <c r="BZ46">
        <f t="shared" si="160"/>
        <v>0.41666666666666669</v>
      </c>
      <c r="CA46">
        <f t="shared" si="161"/>
        <v>0.41666666666666669</v>
      </c>
    </row>
    <row r="47" spans="1:79" ht="15.75" thickBot="1" x14ac:dyDescent="0.3">
      <c r="A47" s="837"/>
      <c r="B47" s="239" t="s">
        <v>11</v>
      </c>
      <c r="C47" s="236">
        <v>4</v>
      </c>
      <c r="D47" s="242">
        <v>12</v>
      </c>
      <c r="E47" s="238">
        <v>5</v>
      </c>
      <c r="F47" s="243">
        <v>450</v>
      </c>
      <c r="G47" s="781">
        <v>10</v>
      </c>
      <c r="H47" s="782">
        <v>450</v>
      </c>
      <c r="I47" s="776">
        <v>0</v>
      </c>
      <c r="J47" s="776">
        <v>0.35</v>
      </c>
      <c r="K47" s="236"/>
      <c r="L47" s="214">
        <f t="shared" si="165"/>
        <v>28.571428571428573</v>
      </c>
      <c r="M47" s="215">
        <f t="shared" si="21"/>
        <v>2.3809523809523809</v>
      </c>
      <c r="N47" s="179">
        <f t="shared" si="168"/>
        <v>14.285714285714286</v>
      </c>
      <c r="O47" s="180">
        <f t="shared" si="168"/>
        <v>14.285714285714286</v>
      </c>
      <c r="P47" s="180">
        <f t="shared" si="168"/>
        <v>14.285714285714286</v>
      </c>
      <c r="Q47" s="180">
        <f t="shared" si="168"/>
        <v>14.285714285714286</v>
      </c>
      <c r="R47" s="180">
        <f t="shared" si="168"/>
        <v>14.285714285714286</v>
      </c>
      <c r="S47" s="180">
        <f t="shared" si="168"/>
        <v>14.285714285714286</v>
      </c>
      <c r="T47" s="180">
        <f t="shared" si="168"/>
        <v>14.285714285714286</v>
      </c>
      <c r="U47" s="180">
        <f t="shared" si="168"/>
        <v>14.285714285714286</v>
      </c>
      <c r="V47" s="180">
        <f t="shared" si="168"/>
        <v>14.285714285714286</v>
      </c>
      <c r="W47" s="180">
        <f t="shared" si="168"/>
        <v>14.285714285714286</v>
      </c>
      <c r="X47" s="180" t="str">
        <f t="shared" si="169"/>
        <v>-</v>
      </c>
      <c r="Y47" s="181" t="str">
        <f t="shared" si="169"/>
        <v>-</v>
      </c>
      <c r="Z47" s="180" t="str">
        <f t="shared" si="169"/>
        <v>-</v>
      </c>
      <c r="AA47" s="180" t="str">
        <f t="shared" si="169"/>
        <v>-</v>
      </c>
      <c r="AB47" s="180" t="str">
        <f t="shared" si="169"/>
        <v>-</v>
      </c>
      <c r="AC47" s="180" t="str">
        <f t="shared" si="169"/>
        <v>-</v>
      </c>
      <c r="AD47" s="180" t="str">
        <f t="shared" si="169"/>
        <v>-</v>
      </c>
      <c r="AE47" s="180" t="str">
        <f t="shared" si="169"/>
        <v>-</v>
      </c>
      <c r="AF47" s="180" t="str">
        <f t="shared" si="169"/>
        <v>-</v>
      </c>
      <c r="AG47" s="180" t="str">
        <f t="shared" si="169"/>
        <v>-</v>
      </c>
      <c r="AH47" s="181" t="str">
        <f t="shared" si="169"/>
        <v>-</v>
      </c>
      <c r="AI47" s="179">
        <f t="shared" si="86"/>
        <v>1.1904761904761905</v>
      </c>
      <c r="AJ47" s="180">
        <f t="shared" si="87"/>
        <v>1.1904761904761905</v>
      </c>
      <c r="AK47" s="180">
        <f t="shared" si="88"/>
        <v>1.1904761904761905</v>
      </c>
      <c r="AL47" s="180">
        <f t="shared" si="89"/>
        <v>1.1904761904761905</v>
      </c>
      <c r="AM47" s="191">
        <f t="shared" si="90"/>
        <v>1.1904761904761905</v>
      </c>
      <c r="AN47" s="191">
        <f t="shared" si="91"/>
        <v>1.1904761904761905</v>
      </c>
      <c r="AO47" s="191">
        <f t="shared" si="92"/>
        <v>1.1904761904761905</v>
      </c>
      <c r="AP47" s="191">
        <f t="shared" si="93"/>
        <v>1.1904761904761905</v>
      </c>
      <c r="AQ47" s="191">
        <f t="shared" si="94"/>
        <v>1.1904761904761905</v>
      </c>
      <c r="AR47" s="191">
        <f t="shared" si="95"/>
        <v>1.1904761904761905</v>
      </c>
      <c r="AS47" s="180" t="str">
        <f t="shared" si="96"/>
        <v>-</v>
      </c>
      <c r="AT47" s="180" t="str">
        <f t="shared" si="97"/>
        <v>-</v>
      </c>
      <c r="AU47" s="180" t="str">
        <f t="shared" si="98"/>
        <v>-</v>
      </c>
      <c r="AV47" s="191" t="str">
        <f t="shared" si="99"/>
        <v>-</v>
      </c>
      <c r="AW47" s="191" t="str">
        <f t="shared" si="100"/>
        <v>-</v>
      </c>
      <c r="AX47" s="191" t="str">
        <f t="shared" si="101"/>
        <v>-</v>
      </c>
      <c r="AY47" s="191" t="str">
        <f t="shared" si="102"/>
        <v>-</v>
      </c>
      <c r="AZ47" s="191" t="str">
        <f t="shared" si="103"/>
        <v>-</v>
      </c>
      <c r="BA47" s="191" t="str">
        <f t="shared" si="104"/>
        <v>-</v>
      </c>
      <c r="BB47" s="191" t="str">
        <f t="shared" si="105"/>
        <v>-</v>
      </c>
      <c r="BC47" s="208" t="str">
        <f t="shared" si="106"/>
        <v>-</v>
      </c>
      <c r="BD47">
        <f t="shared" si="170"/>
        <v>5</v>
      </c>
      <c r="BE47">
        <f t="shared" si="170"/>
        <v>5</v>
      </c>
      <c r="BF47">
        <f t="shared" si="170"/>
        <v>5</v>
      </c>
      <c r="BG47">
        <f t="shared" si="170"/>
        <v>5</v>
      </c>
      <c r="BH47">
        <f t="shared" si="170"/>
        <v>5</v>
      </c>
      <c r="BI47">
        <f t="shared" si="170"/>
        <v>5</v>
      </c>
      <c r="BJ47">
        <f t="shared" si="170"/>
        <v>5</v>
      </c>
      <c r="BK47">
        <f t="shared" si="170"/>
        <v>5</v>
      </c>
      <c r="BL47">
        <f t="shared" si="170"/>
        <v>5</v>
      </c>
      <c r="BM47">
        <f t="shared" si="170"/>
        <v>5</v>
      </c>
      <c r="BN47">
        <f t="shared" si="170"/>
        <v>5</v>
      </c>
      <c r="BO47">
        <f t="shared" si="170"/>
        <v>5</v>
      </c>
      <c r="BP47">
        <f t="shared" si="150"/>
        <v>0.41666666666666669</v>
      </c>
      <c r="BQ47">
        <f t="shared" si="151"/>
        <v>0.41666666666666669</v>
      </c>
      <c r="BR47">
        <f t="shared" si="152"/>
        <v>0.41666666666666669</v>
      </c>
      <c r="BS47">
        <f t="shared" si="153"/>
        <v>0.41666666666666669</v>
      </c>
      <c r="BT47">
        <f t="shared" si="154"/>
        <v>0.41666666666666669</v>
      </c>
      <c r="BU47">
        <f t="shared" si="155"/>
        <v>0.41666666666666669</v>
      </c>
      <c r="BV47">
        <f t="shared" si="156"/>
        <v>0.41666666666666669</v>
      </c>
      <c r="BW47">
        <f t="shared" si="157"/>
        <v>0.41666666666666669</v>
      </c>
      <c r="BX47">
        <f t="shared" si="158"/>
        <v>0.41666666666666669</v>
      </c>
      <c r="BY47">
        <f t="shared" si="159"/>
        <v>0.41666666666666669</v>
      </c>
      <c r="BZ47">
        <f t="shared" si="160"/>
        <v>0.41666666666666669</v>
      </c>
      <c r="CA47">
        <f t="shared" si="161"/>
        <v>0.41666666666666669</v>
      </c>
    </row>
    <row r="48" spans="1:79" x14ac:dyDescent="0.25">
      <c r="A48" s="835" t="s">
        <v>190</v>
      </c>
      <c r="B48" s="240" t="s">
        <v>9</v>
      </c>
      <c r="C48" s="231">
        <v>5</v>
      </c>
      <c r="D48" s="772">
        <v>12</v>
      </c>
      <c r="E48" s="232">
        <v>8</v>
      </c>
      <c r="F48" s="233">
        <v>600</v>
      </c>
      <c r="G48" s="779">
        <v>16</v>
      </c>
      <c r="H48" s="780">
        <v>450</v>
      </c>
      <c r="I48" s="775">
        <v>0</v>
      </c>
      <c r="J48" s="775">
        <v>0.5</v>
      </c>
      <c r="K48" s="231"/>
      <c r="L48" s="212">
        <f t="shared" si="165"/>
        <v>32</v>
      </c>
      <c r="M48" s="213">
        <f t="shared" si="21"/>
        <v>2.6666666666666665</v>
      </c>
      <c r="N48" s="176">
        <f t="shared" si="168"/>
        <v>16</v>
      </c>
      <c r="O48" s="177">
        <f t="shared" si="168"/>
        <v>16</v>
      </c>
      <c r="P48" s="177">
        <f t="shared" si="168"/>
        <v>16</v>
      </c>
      <c r="Q48" s="177">
        <f t="shared" si="168"/>
        <v>16</v>
      </c>
      <c r="R48" s="177">
        <f t="shared" si="168"/>
        <v>16</v>
      </c>
      <c r="S48" s="177">
        <f t="shared" si="168"/>
        <v>16</v>
      </c>
      <c r="T48" s="177">
        <f t="shared" si="168"/>
        <v>16</v>
      </c>
      <c r="U48" s="177">
        <f t="shared" si="168"/>
        <v>16</v>
      </c>
      <c r="V48" s="177">
        <f t="shared" si="168"/>
        <v>16</v>
      </c>
      <c r="W48" s="177">
        <f t="shared" si="168"/>
        <v>16</v>
      </c>
      <c r="X48" s="177">
        <f t="shared" si="169"/>
        <v>16</v>
      </c>
      <c r="Y48" s="178">
        <f t="shared" si="169"/>
        <v>16</v>
      </c>
      <c r="Z48" s="177">
        <f t="shared" si="169"/>
        <v>16</v>
      </c>
      <c r="AA48" s="177" t="str">
        <f t="shared" si="169"/>
        <v>-</v>
      </c>
      <c r="AB48" s="177" t="str">
        <f t="shared" si="169"/>
        <v>-</v>
      </c>
      <c r="AC48" s="177" t="str">
        <f t="shared" si="169"/>
        <v>-</v>
      </c>
      <c r="AD48" s="177" t="str">
        <f t="shared" si="169"/>
        <v>-</v>
      </c>
      <c r="AE48" s="177" t="str">
        <f t="shared" si="169"/>
        <v>-</v>
      </c>
      <c r="AF48" s="177" t="str">
        <f t="shared" si="169"/>
        <v>-</v>
      </c>
      <c r="AG48" s="177" t="str">
        <f t="shared" si="169"/>
        <v>-</v>
      </c>
      <c r="AH48" s="178" t="str">
        <f t="shared" si="169"/>
        <v>-</v>
      </c>
      <c r="AI48" s="176">
        <f t="shared" si="86"/>
        <v>1.3333333333333333</v>
      </c>
      <c r="AJ48" s="177">
        <f t="shared" si="87"/>
        <v>1.3333333333333333</v>
      </c>
      <c r="AK48" s="177">
        <f t="shared" si="88"/>
        <v>1.3333333333333333</v>
      </c>
      <c r="AL48" s="177">
        <f t="shared" si="89"/>
        <v>1.3333333333333333</v>
      </c>
      <c r="AM48" s="192">
        <f t="shared" si="90"/>
        <v>1.3333333333333333</v>
      </c>
      <c r="AN48" s="192">
        <f t="shared" si="91"/>
        <v>1.3333333333333333</v>
      </c>
      <c r="AO48" s="192">
        <f t="shared" si="92"/>
        <v>1.3333333333333333</v>
      </c>
      <c r="AP48" s="192">
        <f t="shared" si="93"/>
        <v>1.3333333333333333</v>
      </c>
      <c r="AQ48" s="192">
        <f t="shared" si="94"/>
        <v>1.3333333333333333</v>
      </c>
      <c r="AR48" s="192">
        <f t="shared" si="95"/>
        <v>1.3333333333333333</v>
      </c>
      <c r="AS48" s="177">
        <f t="shared" si="96"/>
        <v>1.3333333333333333</v>
      </c>
      <c r="AT48" s="177">
        <f t="shared" si="97"/>
        <v>1.3333333333333333</v>
      </c>
      <c r="AU48" s="177">
        <f t="shared" si="98"/>
        <v>1.3333333333333333</v>
      </c>
      <c r="AV48" s="192" t="str">
        <f t="shared" si="99"/>
        <v>-</v>
      </c>
      <c r="AW48" s="192" t="str">
        <f t="shared" si="100"/>
        <v>-</v>
      </c>
      <c r="AX48" s="192" t="str">
        <f t="shared" si="101"/>
        <v>-</v>
      </c>
      <c r="AY48" s="192" t="str">
        <f t="shared" si="102"/>
        <v>-</v>
      </c>
      <c r="AZ48" s="192" t="str">
        <f t="shared" si="103"/>
        <v>-</v>
      </c>
      <c r="BA48" s="192" t="str">
        <f t="shared" si="104"/>
        <v>-</v>
      </c>
      <c r="BB48" s="192" t="str">
        <f t="shared" si="105"/>
        <v>-</v>
      </c>
      <c r="BC48" s="209" t="str">
        <f t="shared" si="106"/>
        <v>-</v>
      </c>
      <c r="BD48">
        <f t="shared" si="170"/>
        <v>8</v>
      </c>
      <c r="BE48">
        <f t="shared" si="170"/>
        <v>8</v>
      </c>
      <c r="BF48">
        <f t="shared" si="170"/>
        <v>8</v>
      </c>
      <c r="BG48">
        <f t="shared" si="170"/>
        <v>8</v>
      </c>
      <c r="BH48">
        <f t="shared" si="170"/>
        <v>8</v>
      </c>
      <c r="BI48">
        <f t="shared" si="170"/>
        <v>8</v>
      </c>
      <c r="BJ48">
        <f t="shared" si="170"/>
        <v>8</v>
      </c>
      <c r="BK48">
        <f t="shared" si="170"/>
        <v>8</v>
      </c>
      <c r="BL48">
        <f t="shared" si="170"/>
        <v>8</v>
      </c>
      <c r="BM48">
        <f t="shared" si="170"/>
        <v>8</v>
      </c>
      <c r="BN48">
        <f t="shared" si="170"/>
        <v>8</v>
      </c>
      <c r="BO48">
        <f t="shared" si="170"/>
        <v>8</v>
      </c>
      <c r="BP48">
        <f t="shared" ref="BP48:BP50" si="171">BD48/$D48</f>
        <v>0.66666666666666663</v>
      </c>
      <c r="BQ48">
        <f t="shared" ref="BQ48:BQ50" si="172">BE48/$D48</f>
        <v>0.66666666666666663</v>
      </c>
      <c r="BR48">
        <f t="shared" ref="BR48:BR50" si="173">BF48/$D48</f>
        <v>0.66666666666666663</v>
      </c>
      <c r="BS48">
        <f t="shared" ref="BS48:BS50" si="174">BG48/$D48</f>
        <v>0.66666666666666663</v>
      </c>
      <c r="BT48">
        <f t="shared" ref="BT48:BT50" si="175">BH48/$D48</f>
        <v>0.66666666666666663</v>
      </c>
      <c r="BU48">
        <f t="shared" ref="BU48:BU50" si="176">BI48/$D48</f>
        <v>0.66666666666666663</v>
      </c>
      <c r="BV48">
        <f t="shared" ref="BV48:BV50" si="177">BJ48/$D48</f>
        <v>0.66666666666666663</v>
      </c>
      <c r="BW48">
        <f t="shared" ref="BW48:BW50" si="178">BK48/$D48</f>
        <v>0.66666666666666663</v>
      </c>
      <c r="BX48">
        <f t="shared" ref="BX48:BX50" si="179">BL48/$D48</f>
        <v>0.66666666666666663</v>
      </c>
      <c r="BY48">
        <f t="shared" ref="BY48:BY50" si="180">BM48/$D48</f>
        <v>0.66666666666666663</v>
      </c>
      <c r="BZ48">
        <f t="shared" ref="BZ48:BZ50" si="181">BN48/$D48</f>
        <v>0.66666666666666663</v>
      </c>
      <c r="CA48">
        <f t="shared" ref="CA48:CA50" si="182">BO48/$D48</f>
        <v>0.66666666666666663</v>
      </c>
    </row>
    <row r="49" spans="1:79" x14ac:dyDescent="0.25">
      <c r="A49" s="836"/>
      <c r="B49" s="244" t="s">
        <v>10</v>
      </c>
      <c r="C49" s="245">
        <v>6</v>
      </c>
      <c r="D49" s="773">
        <v>12</v>
      </c>
      <c r="E49" s="246">
        <v>8</v>
      </c>
      <c r="F49" s="247">
        <v>600</v>
      </c>
      <c r="G49" s="785">
        <v>16</v>
      </c>
      <c r="H49" s="786">
        <v>500</v>
      </c>
      <c r="I49" s="778">
        <v>0</v>
      </c>
      <c r="J49" s="778">
        <v>0.45</v>
      </c>
      <c r="K49" s="245"/>
      <c r="L49" s="218">
        <f t="shared" si="165"/>
        <v>35.555555555555557</v>
      </c>
      <c r="M49" s="219">
        <v>1.1000000000000001</v>
      </c>
      <c r="N49" s="186">
        <f t="shared" si="168"/>
        <v>17.777777777777779</v>
      </c>
      <c r="O49" s="187">
        <f t="shared" si="168"/>
        <v>17.777777777777779</v>
      </c>
      <c r="P49" s="187">
        <f t="shared" si="168"/>
        <v>17.777777777777779</v>
      </c>
      <c r="Q49" s="187">
        <f t="shared" si="168"/>
        <v>17.777777777777779</v>
      </c>
      <c r="R49" s="187">
        <f t="shared" si="168"/>
        <v>17.777777777777779</v>
      </c>
      <c r="S49" s="187">
        <f t="shared" si="168"/>
        <v>17.777777777777779</v>
      </c>
      <c r="T49" s="187">
        <f t="shared" si="168"/>
        <v>17.777777777777779</v>
      </c>
      <c r="U49" s="187">
        <f t="shared" si="168"/>
        <v>17.777777777777779</v>
      </c>
      <c r="V49" s="187">
        <f t="shared" si="168"/>
        <v>17.777777777777779</v>
      </c>
      <c r="W49" s="187">
        <f t="shared" si="168"/>
        <v>17.777777777777779</v>
      </c>
      <c r="X49" s="187">
        <f t="shared" si="169"/>
        <v>17.777777777777779</v>
      </c>
      <c r="Y49" s="188">
        <f t="shared" si="169"/>
        <v>17.777777777777779</v>
      </c>
      <c r="Z49" s="187">
        <f t="shared" si="169"/>
        <v>17.777777777777779</v>
      </c>
      <c r="AA49" s="187" t="str">
        <f t="shared" si="169"/>
        <v>-</v>
      </c>
      <c r="AB49" s="187" t="str">
        <f t="shared" si="169"/>
        <v>-</v>
      </c>
      <c r="AC49" s="187" t="str">
        <f t="shared" si="169"/>
        <v>-</v>
      </c>
      <c r="AD49" s="187" t="str">
        <f t="shared" si="169"/>
        <v>-</v>
      </c>
      <c r="AE49" s="187" t="str">
        <f t="shared" si="169"/>
        <v>-</v>
      </c>
      <c r="AF49" s="187" t="str">
        <f t="shared" si="169"/>
        <v>-</v>
      </c>
      <c r="AG49" s="187" t="str">
        <f t="shared" si="169"/>
        <v>-</v>
      </c>
      <c r="AH49" s="188" t="str">
        <f t="shared" si="169"/>
        <v>-</v>
      </c>
      <c r="AI49" s="186">
        <f t="shared" si="86"/>
        <v>1.4814814814814816</v>
      </c>
      <c r="AJ49" s="187">
        <f t="shared" si="87"/>
        <v>1.4814814814814816</v>
      </c>
      <c r="AK49" s="187">
        <f t="shared" si="88"/>
        <v>1.4814814814814816</v>
      </c>
      <c r="AL49" s="187">
        <f t="shared" si="89"/>
        <v>1.4814814814814816</v>
      </c>
      <c r="AM49" s="187">
        <f t="shared" si="90"/>
        <v>1.4814814814814816</v>
      </c>
      <c r="AN49" s="189">
        <f t="shared" si="91"/>
        <v>1.4814814814814816</v>
      </c>
      <c r="AO49" s="189">
        <f t="shared" si="92"/>
        <v>1.4814814814814816</v>
      </c>
      <c r="AP49" s="189">
        <f t="shared" si="93"/>
        <v>1.4814814814814816</v>
      </c>
      <c r="AQ49" s="189">
        <f t="shared" si="94"/>
        <v>1.4814814814814816</v>
      </c>
      <c r="AR49" s="189">
        <f t="shared" si="95"/>
        <v>1.4814814814814816</v>
      </c>
      <c r="AS49" s="187">
        <f t="shared" si="96"/>
        <v>1.4814814814814816</v>
      </c>
      <c r="AT49" s="187">
        <f t="shared" si="97"/>
        <v>1.4814814814814816</v>
      </c>
      <c r="AU49" s="187">
        <f t="shared" si="98"/>
        <v>1.4814814814814816</v>
      </c>
      <c r="AV49" s="187" t="str">
        <f t="shared" si="99"/>
        <v>-</v>
      </c>
      <c r="AW49" s="189" t="str">
        <f t="shared" si="100"/>
        <v>-</v>
      </c>
      <c r="AX49" s="189" t="str">
        <f t="shared" si="101"/>
        <v>-</v>
      </c>
      <c r="AY49" s="189" t="str">
        <f t="shared" si="102"/>
        <v>-</v>
      </c>
      <c r="AZ49" s="189" t="str">
        <f t="shared" si="103"/>
        <v>-</v>
      </c>
      <c r="BA49" s="189" t="str">
        <f t="shared" si="104"/>
        <v>-</v>
      </c>
      <c r="BB49" s="189" t="str">
        <f t="shared" si="105"/>
        <v>-</v>
      </c>
      <c r="BC49" s="207" t="str">
        <f t="shared" si="106"/>
        <v>-</v>
      </c>
      <c r="BD49">
        <f t="shared" si="170"/>
        <v>8</v>
      </c>
      <c r="BE49">
        <f t="shared" si="170"/>
        <v>8</v>
      </c>
      <c r="BF49">
        <f t="shared" si="170"/>
        <v>8</v>
      </c>
      <c r="BG49">
        <f t="shared" si="170"/>
        <v>8</v>
      </c>
      <c r="BH49">
        <f t="shared" si="170"/>
        <v>8</v>
      </c>
      <c r="BI49">
        <f t="shared" si="170"/>
        <v>8</v>
      </c>
      <c r="BJ49">
        <f t="shared" si="170"/>
        <v>8</v>
      </c>
      <c r="BK49">
        <f t="shared" si="170"/>
        <v>8</v>
      </c>
      <c r="BL49">
        <f t="shared" si="170"/>
        <v>8</v>
      </c>
      <c r="BM49">
        <f t="shared" si="170"/>
        <v>8</v>
      </c>
      <c r="BN49">
        <f t="shared" si="170"/>
        <v>8</v>
      </c>
      <c r="BO49">
        <f t="shared" si="170"/>
        <v>8</v>
      </c>
      <c r="BP49">
        <f t="shared" si="171"/>
        <v>0.66666666666666663</v>
      </c>
      <c r="BQ49">
        <f t="shared" si="172"/>
        <v>0.66666666666666663</v>
      </c>
      <c r="BR49">
        <f t="shared" si="173"/>
        <v>0.66666666666666663</v>
      </c>
      <c r="BS49">
        <f t="shared" si="174"/>
        <v>0.66666666666666663</v>
      </c>
      <c r="BT49">
        <f t="shared" si="175"/>
        <v>0.66666666666666663</v>
      </c>
      <c r="BU49">
        <f t="shared" si="176"/>
        <v>0.66666666666666663</v>
      </c>
      <c r="BV49">
        <f t="shared" si="177"/>
        <v>0.66666666666666663</v>
      </c>
      <c r="BW49">
        <f t="shared" si="178"/>
        <v>0.66666666666666663</v>
      </c>
      <c r="BX49">
        <f t="shared" si="179"/>
        <v>0.66666666666666663</v>
      </c>
      <c r="BY49">
        <f t="shared" si="180"/>
        <v>0.66666666666666663</v>
      </c>
      <c r="BZ49">
        <f t="shared" si="181"/>
        <v>0.66666666666666663</v>
      </c>
      <c r="CA49">
        <f t="shared" si="182"/>
        <v>0.66666666666666663</v>
      </c>
    </row>
    <row r="50" spans="1:79" ht="15.75" thickBot="1" x14ac:dyDescent="0.3">
      <c r="A50" s="837"/>
      <c r="B50" s="239" t="s">
        <v>11</v>
      </c>
      <c r="C50" s="236">
        <v>7</v>
      </c>
      <c r="D50" s="774">
        <v>12</v>
      </c>
      <c r="E50" s="237">
        <v>8</v>
      </c>
      <c r="F50" s="238">
        <v>600</v>
      </c>
      <c r="G50" s="781">
        <v>16</v>
      </c>
      <c r="H50" s="782">
        <v>550</v>
      </c>
      <c r="I50" s="776">
        <v>0</v>
      </c>
      <c r="J50" s="776">
        <v>0.4</v>
      </c>
      <c r="K50" s="236"/>
      <c r="L50" s="214">
        <f t="shared" si="165"/>
        <v>40</v>
      </c>
      <c r="M50" s="215">
        <f t="shared" ref="M50:M81" si="183">L50/D50</f>
        <v>3.3333333333333335</v>
      </c>
      <c r="N50" s="179">
        <f t="shared" si="168"/>
        <v>20</v>
      </c>
      <c r="O50" s="180">
        <f t="shared" si="168"/>
        <v>20</v>
      </c>
      <c r="P50" s="180">
        <f t="shared" si="168"/>
        <v>20</v>
      </c>
      <c r="Q50" s="180">
        <f t="shared" si="168"/>
        <v>20</v>
      </c>
      <c r="R50" s="180">
        <f t="shared" si="168"/>
        <v>20</v>
      </c>
      <c r="S50" s="180">
        <f t="shared" si="168"/>
        <v>20</v>
      </c>
      <c r="T50" s="180">
        <f t="shared" si="168"/>
        <v>20</v>
      </c>
      <c r="U50" s="180">
        <f t="shared" si="168"/>
        <v>20</v>
      </c>
      <c r="V50" s="180">
        <f t="shared" si="168"/>
        <v>20</v>
      </c>
      <c r="W50" s="180">
        <f t="shared" si="168"/>
        <v>20</v>
      </c>
      <c r="X50" s="180">
        <f t="shared" si="169"/>
        <v>20</v>
      </c>
      <c r="Y50" s="181">
        <f t="shared" si="169"/>
        <v>20</v>
      </c>
      <c r="Z50" s="180">
        <f t="shared" si="169"/>
        <v>20</v>
      </c>
      <c r="AA50" s="180" t="str">
        <f t="shared" si="169"/>
        <v>-</v>
      </c>
      <c r="AB50" s="180" t="str">
        <f t="shared" si="169"/>
        <v>-</v>
      </c>
      <c r="AC50" s="180" t="str">
        <f t="shared" si="169"/>
        <v>-</v>
      </c>
      <c r="AD50" s="180" t="str">
        <f t="shared" si="169"/>
        <v>-</v>
      </c>
      <c r="AE50" s="180" t="str">
        <f t="shared" si="169"/>
        <v>-</v>
      </c>
      <c r="AF50" s="180" t="str">
        <f t="shared" si="169"/>
        <v>-</v>
      </c>
      <c r="AG50" s="180" t="str">
        <f t="shared" si="169"/>
        <v>-</v>
      </c>
      <c r="AH50" s="181" t="str">
        <f t="shared" si="169"/>
        <v>-</v>
      </c>
      <c r="AI50" s="179">
        <f t="shared" si="86"/>
        <v>1.6666666666666667</v>
      </c>
      <c r="AJ50" s="180">
        <f t="shared" si="87"/>
        <v>1.6666666666666667</v>
      </c>
      <c r="AK50" s="180">
        <f t="shared" si="88"/>
        <v>1.6666666666666667</v>
      </c>
      <c r="AL50" s="180">
        <f t="shared" si="89"/>
        <v>1.6666666666666667</v>
      </c>
      <c r="AM50" s="180">
        <f t="shared" si="90"/>
        <v>1.6666666666666667</v>
      </c>
      <c r="AN50" s="180">
        <f t="shared" si="91"/>
        <v>1.6666666666666667</v>
      </c>
      <c r="AO50" s="180">
        <f t="shared" si="92"/>
        <v>1.6666666666666667</v>
      </c>
      <c r="AP50" s="180">
        <f t="shared" si="93"/>
        <v>1.6666666666666667</v>
      </c>
      <c r="AQ50" s="180">
        <f t="shared" si="94"/>
        <v>1.6666666666666667</v>
      </c>
      <c r="AR50" s="180">
        <f t="shared" si="95"/>
        <v>1.6666666666666667</v>
      </c>
      <c r="AS50" s="180">
        <f t="shared" si="96"/>
        <v>1.6666666666666667</v>
      </c>
      <c r="AT50" s="180">
        <f t="shared" si="97"/>
        <v>1.6666666666666667</v>
      </c>
      <c r="AU50" s="180">
        <f t="shared" si="98"/>
        <v>1.6666666666666667</v>
      </c>
      <c r="AV50" s="180" t="str">
        <f t="shared" si="99"/>
        <v>-</v>
      </c>
      <c r="AW50" s="180" t="str">
        <f t="shared" si="100"/>
        <v>-</v>
      </c>
      <c r="AX50" s="180" t="str">
        <f t="shared" si="101"/>
        <v>-</v>
      </c>
      <c r="AY50" s="180" t="str">
        <f t="shared" si="102"/>
        <v>-</v>
      </c>
      <c r="AZ50" s="180" t="str">
        <f t="shared" si="103"/>
        <v>-</v>
      </c>
      <c r="BA50" s="180" t="str">
        <f t="shared" si="104"/>
        <v>-</v>
      </c>
      <c r="BB50" s="180" t="str">
        <f t="shared" si="105"/>
        <v>-</v>
      </c>
      <c r="BC50" s="205" t="str">
        <f t="shared" si="106"/>
        <v>-</v>
      </c>
      <c r="BD50">
        <f t="shared" si="170"/>
        <v>8</v>
      </c>
      <c r="BE50">
        <f t="shared" si="170"/>
        <v>8</v>
      </c>
      <c r="BF50">
        <f t="shared" si="170"/>
        <v>8</v>
      </c>
      <c r="BG50">
        <f t="shared" si="170"/>
        <v>8</v>
      </c>
      <c r="BH50">
        <f t="shared" si="170"/>
        <v>8</v>
      </c>
      <c r="BI50">
        <f t="shared" si="170"/>
        <v>8</v>
      </c>
      <c r="BJ50">
        <f t="shared" si="170"/>
        <v>8</v>
      </c>
      <c r="BK50">
        <f t="shared" si="170"/>
        <v>8</v>
      </c>
      <c r="BL50">
        <f t="shared" si="170"/>
        <v>8</v>
      </c>
      <c r="BM50">
        <f t="shared" si="170"/>
        <v>8</v>
      </c>
      <c r="BN50">
        <f t="shared" si="170"/>
        <v>8</v>
      </c>
      <c r="BO50">
        <f t="shared" si="170"/>
        <v>8</v>
      </c>
      <c r="BP50">
        <f t="shared" si="171"/>
        <v>0.66666666666666663</v>
      </c>
      <c r="BQ50">
        <f t="shared" si="172"/>
        <v>0.66666666666666663</v>
      </c>
      <c r="BR50">
        <f t="shared" si="173"/>
        <v>0.66666666666666663</v>
      </c>
      <c r="BS50">
        <f t="shared" si="174"/>
        <v>0.66666666666666663</v>
      </c>
      <c r="BT50">
        <f t="shared" si="175"/>
        <v>0.66666666666666663</v>
      </c>
      <c r="BU50">
        <f t="shared" si="176"/>
        <v>0.66666666666666663</v>
      </c>
      <c r="BV50">
        <f t="shared" si="177"/>
        <v>0.66666666666666663</v>
      </c>
      <c r="BW50">
        <f t="shared" si="178"/>
        <v>0.66666666666666663</v>
      </c>
      <c r="BX50">
        <f t="shared" si="179"/>
        <v>0.66666666666666663</v>
      </c>
      <c r="BY50">
        <f t="shared" si="180"/>
        <v>0.66666666666666663</v>
      </c>
      <c r="BZ50">
        <f t="shared" si="181"/>
        <v>0.66666666666666663</v>
      </c>
      <c r="CA50">
        <f t="shared" si="182"/>
        <v>0.66666666666666663</v>
      </c>
    </row>
    <row r="51" spans="1:79" x14ac:dyDescent="0.25">
      <c r="A51" s="835" t="s">
        <v>22</v>
      </c>
      <c r="B51" s="240" t="s">
        <v>9</v>
      </c>
      <c r="C51" s="231">
        <v>2</v>
      </c>
      <c r="D51" s="242">
        <v>12</v>
      </c>
      <c r="E51" s="233">
        <v>15</v>
      </c>
      <c r="F51" s="233">
        <v>600</v>
      </c>
      <c r="G51" s="271">
        <f>ROUND(E51*0.9, 0)</f>
        <v>14</v>
      </c>
      <c r="H51" s="233">
        <v>400</v>
      </c>
      <c r="I51" s="234">
        <v>0</v>
      </c>
      <c r="J51" s="234">
        <v>1.2</v>
      </c>
      <c r="K51" s="231"/>
      <c r="L51" s="212">
        <f t="shared" si="165"/>
        <v>11.666666666666668</v>
      </c>
      <c r="M51" s="213">
        <f t="shared" si="183"/>
        <v>0.97222222222222232</v>
      </c>
      <c r="N51" s="176">
        <f t="shared" si="168"/>
        <v>12.5</v>
      </c>
      <c r="O51" s="177">
        <f t="shared" si="168"/>
        <v>12.5</v>
      </c>
      <c r="P51" s="177">
        <f t="shared" si="168"/>
        <v>12.5</v>
      </c>
      <c r="Q51" s="177">
        <f t="shared" si="168"/>
        <v>12.5</v>
      </c>
      <c r="R51" s="177">
        <f t="shared" si="168"/>
        <v>12.5</v>
      </c>
      <c r="S51" s="177">
        <f t="shared" si="168"/>
        <v>12.5</v>
      </c>
      <c r="T51" s="177">
        <f t="shared" si="168"/>
        <v>12.5</v>
      </c>
      <c r="U51" s="177">
        <f t="shared" si="168"/>
        <v>12.5</v>
      </c>
      <c r="V51" s="177">
        <f t="shared" si="168"/>
        <v>12.5</v>
      </c>
      <c r="W51" s="177">
        <f t="shared" si="168"/>
        <v>12.5</v>
      </c>
      <c r="X51" s="177">
        <f t="shared" si="169"/>
        <v>12.5</v>
      </c>
      <c r="Y51" s="178">
        <f t="shared" si="169"/>
        <v>12.5</v>
      </c>
      <c r="Z51" s="177">
        <f t="shared" si="169"/>
        <v>12.5</v>
      </c>
      <c r="AA51" s="177" t="str">
        <f t="shared" si="169"/>
        <v>-</v>
      </c>
      <c r="AB51" s="177" t="str">
        <f t="shared" si="169"/>
        <v>-</v>
      </c>
      <c r="AC51" s="177" t="str">
        <f t="shared" si="169"/>
        <v>-</v>
      </c>
      <c r="AD51" s="177" t="str">
        <f t="shared" si="169"/>
        <v>-</v>
      </c>
      <c r="AE51" s="177" t="str">
        <f t="shared" si="169"/>
        <v>-</v>
      </c>
      <c r="AF51" s="177" t="str">
        <f t="shared" si="169"/>
        <v>-</v>
      </c>
      <c r="AG51" s="177" t="str">
        <f t="shared" si="169"/>
        <v>-</v>
      </c>
      <c r="AH51" s="178" t="str">
        <f t="shared" si="169"/>
        <v>-</v>
      </c>
      <c r="AI51" s="176">
        <f t="shared" si="86"/>
        <v>1.0416666666666667</v>
      </c>
      <c r="AJ51" s="177">
        <f t="shared" si="87"/>
        <v>1.0416666666666667</v>
      </c>
      <c r="AK51" s="177">
        <f t="shared" si="88"/>
        <v>1.0416666666666667</v>
      </c>
      <c r="AL51" s="177">
        <f t="shared" si="89"/>
        <v>1.0416666666666667</v>
      </c>
      <c r="AM51" s="192">
        <f t="shared" si="90"/>
        <v>1.0416666666666667</v>
      </c>
      <c r="AN51" s="192">
        <f t="shared" si="91"/>
        <v>1.0416666666666667</v>
      </c>
      <c r="AO51" s="192">
        <f t="shared" si="92"/>
        <v>1.0416666666666667</v>
      </c>
      <c r="AP51" s="192">
        <f t="shared" si="93"/>
        <v>1.0416666666666667</v>
      </c>
      <c r="AQ51" s="192">
        <f t="shared" si="94"/>
        <v>1.0416666666666667</v>
      </c>
      <c r="AR51" s="192">
        <f t="shared" si="95"/>
        <v>1.0416666666666667</v>
      </c>
      <c r="AS51" s="177">
        <f t="shared" si="96"/>
        <v>1.0416666666666667</v>
      </c>
      <c r="AT51" s="177">
        <f t="shared" si="97"/>
        <v>1.0416666666666667</v>
      </c>
      <c r="AU51" s="177">
        <f t="shared" si="98"/>
        <v>1.0416666666666667</v>
      </c>
      <c r="AV51" s="192" t="str">
        <f t="shared" si="99"/>
        <v>-</v>
      </c>
      <c r="AW51" s="192" t="str">
        <f t="shared" si="100"/>
        <v>-</v>
      </c>
      <c r="AX51" s="192" t="str">
        <f t="shared" si="101"/>
        <v>-</v>
      </c>
      <c r="AY51" s="192" t="str">
        <f t="shared" si="102"/>
        <v>-</v>
      </c>
      <c r="AZ51" s="192" t="str">
        <f t="shared" si="103"/>
        <v>-</v>
      </c>
      <c r="BA51" s="192" t="str">
        <f t="shared" si="104"/>
        <v>-</v>
      </c>
      <c r="BB51" s="192" t="str">
        <f t="shared" si="105"/>
        <v>-</v>
      </c>
      <c r="BC51" s="209" t="str">
        <f t="shared" si="106"/>
        <v>-</v>
      </c>
      <c r="BD51">
        <f t="shared" si="170"/>
        <v>15</v>
      </c>
      <c r="BE51">
        <f t="shared" si="170"/>
        <v>15</v>
      </c>
      <c r="BF51">
        <f t="shared" si="170"/>
        <v>15</v>
      </c>
      <c r="BG51">
        <f t="shared" si="170"/>
        <v>15</v>
      </c>
      <c r="BH51">
        <f t="shared" si="170"/>
        <v>15</v>
      </c>
      <c r="BI51">
        <f t="shared" si="170"/>
        <v>15</v>
      </c>
      <c r="BJ51">
        <f t="shared" si="170"/>
        <v>15</v>
      </c>
      <c r="BK51">
        <f t="shared" si="170"/>
        <v>15</v>
      </c>
      <c r="BL51">
        <f t="shared" si="170"/>
        <v>15</v>
      </c>
      <c r="BM51">
        <f t="shared" si="170"/>
        <v>15</v>
      </c>
      <c r="BN51">
        <f t="shared" si="170"/>
        <v>15</v>
      </c>
      <c r="BO51">
        <f t="shared" si="170"/>
        <v>15</v>
      </c>
      <c r="BP51">
        <f t="shared" ref="BP51:CA53" si="184">BD51/$D51</f>
        <v>1.25</v>
      </c>
      <c r="BQ51">
        <f t="shared" si="184"/>
        <v>1.25</v>
      </c>
      <c r="BR51">
        <f t="shared" si="184"/>
        <v>1.25</v>
      </c>
      <c r="BS51">
        <f t="shared" si="184"/>
        <v>1.25</v>
      </c>
      <c r="BT51">
        <f t="shared" si="184"/>
        <v>1.25</v>
      </c>
      <c r="BU51">
        <f t="shared" si="184"/>
        <v>1.25</v>
      </c>
      <c r="BV51">
        <f t="shared" si="184"/>
        <v>1.25</v>
      </c>
      <c r="BW51">
        <f t="shared" si="184"/>
        <v>1.25</v>
      </c>
      <c r="BX51">
        <f t="shared" si="184"/>
        <v>1.25</v>
      </c>
      <c r="BY51">
        <f t="shared" si="184"/>
        <v>1.25</v>
      </c>
      <c r="BZ51">
        <f t="shared" si="184"/>
        <v>1.25</v>
      </c>
      <c r="CA51">
        <f t="shared" si="184"/>
        <v>1.25</v>
      </c>
    </row>
    <row r="52" spans="1:79" x14ac:dyDescent="0.25">
      <c r="A52" s="836"/>
      <c r="B52" s="244" t="s">
        <v>10</v>
      </c>
      <c r="C52" s="245">
        <v>3</v>
      </c>
      <c r="D52" s="246">
        <v>12</v>
      </c>
      <c r="E52" s="247">
        <v>15</v>
      </c>
      <c r="F52" s="247">
        <v>600</v>
      </c>
      <c r="G52" s="273">
        <f>ROUND(E52*0.9, 0)</f>
        <v>14</v>
      </c>
      <c r="H52" s="247">
        <v>450</v>
      </c>
      <c r="I52" s="244">
        <v>0</v>
      </c>
      <c r="J52" s="244">
        <v>1.125</v>
      </c>
      <c r="K52" s="245"/>
      <c r="L52" s="218">
        <f t="shared" si="165"/>
        <v>12.444444444444445</v>
      </c>
      <c r="M52" s="219">
        <f t="shared" si="183"/>
        <v>1.037037037037037</v>
      </c>
      <c r="N52" s="186">
        <f t="shared" si="168"/>
        <v>13.333333333333334</v>
      </c>
      <c r="O52" s="187">
        <f t="shared" si="168"/>
        <v>13.333333333333334</v>
      </c>
      <c r="P52" s="187">
        <f t="shared" si="168"/>
        <v>13.333333333333334</v>
      </c>
      <c r="Q52" s="187">
        <f t="shared" si="168"/>
        <v>13.333333333333334</v>
      </c>
      <c r="R52" s="187">
        <f t="shared" si="168"/>
        <v>13.333333333333334</v>
      </c>
      <c r="S52" s="187">
        <f t="shared" si="168"/>
        <v>13.333333333333334</v>
      </c>
      <c r="T52" s="187">
        <f t="shared" si="168"/>
        <v>13.333333333333334</v>
      </c>
      <c r="U52" s="187">
        <f t="shared" si="168"/>
        <v>13.333333333333334</v>
      </c>
      <c r="V52" s="187">
        <f t="shared" si="168"/>
        <v>13.333333333333334</v>
      </c>
      <c r="W52" s="187">
        <f t="shared" si="168"/>
        <v>13.333333333333334</v>
      </c>
      <c r="X52" s="187">
        <f t="shared" si="169"/>
        <v>13.333333333333334</v>
      </c>
      <c r="Y52" s="188">
        <f t="shared" si="169"/>
        <v>13.333333333333334</v>
      </c>
      <c r="Z52" s="187">
        <f t="shared" si="169"/>
        <v>13.333333333333334</v>
      </c>
      <c r="AA52" s="187" t="str">
        <f t="shared" si="169"/>
        <v>-</v>
      </c>
      <c r="AB52" s="187" t="str">
        <f t="shared" si="169"/>
        <v>-</v>
      </c>
      <c r="AC52" s="187" t="str">
        <f t="shared" si="169"/>
        <v>-</v>
      </c>
      <c r="AD52" s="187" t="str">
        <f t="shared" si="169"/>
        <v>-</v>
      </c>
      <c r="AE52" s="187" t="str">
        <f t="shared" si="169"/>
        <v>-</v>
      </c>
      <c r="AF52" s="187" t="str">
        <f t="shared" si="169"/>
        <v>-</v>
      </c>
      <c r="AG52" s="187" t="str">
        <f t="shared" si="169"/>
        <v>-</v>
      </c>
      <c r="AH52" s="188" t="str">
        <f t="shared" si="169"/>
        <v>-</v>
      </c>
      <c r="AI52" s="186">
        <f t="shared" si="86"/>
        <v>1.1111111111111112</v>
      </c>
      <c r="AJ52" s="187">
        <f t="shared" si="87"/>
        <v>1.1111111111111112</v>
      </c>
      <c r="AK52" s="187">
        <f t="shared" si="88"/>
        <v>1.1111111111111112</v>
      </c>
      <c r="AL52" s="187">
        <f t="shared" si="89"/>
        <v>1.1111111111111112</v>
      </c>
      <c r="AM52" s="187">
        <f t="shared" si="90"/>
        <v>1.1111111111111112</v>
      </c>
      <c r="AN52" s="187">
        <f t="shared" si="91"/>
        <v>1.1111111111111112</v>
      </c>
      <c r="AO52" s="187">
        <f t="shared" si="92"/>
        <v>1.1111111111111112</v>
      </c>
      <c r="AP52" s="187">
        <f t="shared" si="93"/>
        <v>1.1111111111111112</v>
      </c>
      <c r="AQ52" s="187">
        <f t="shared" si="94"/>
        <v>1.1111111111111112</v>
      </c>
      <c r="AR52" s="187">
        <f t="shared" si="95"/>
        <v>1.1111111111111112</v>
      </c>
      <c r="AS52" s="187">
        <f t="shared" si="96"/>
        <v>1.1111111111111112</v>
      </c>
      <c r="AT52" s="187">
        <f t="shared" si="97"/>
        <v>1.1111111111111112</v>
      </c>
      <c r="AU52" s="187">
        <f t="shared" si="98"/>
        <v>1.1111111111111112</v>
      </c>
      <c r="AV52" s="187" t="str">
        <f t="shared" si="99"/>
        <v>-</v>
      </c>
      <c r="AW52" s="187" t="str">
        <f t="shared" si="100"/>
        <v>-</v>
      </c>
      <c r="AX52" s="187" t="str">
        <f t="shared" si="101"/>
        <v>-</v>
      </c>
      <c r="AY52" s="187" t="str">
        <f t="shared" si="102"/>
        <v>-</v>
      </c>
      <c r="AZ52" s="187" t="str">
        <f t="shared" si="103"/>
        <v>-</v>
      </c>
      <c r="BA52" s="187" t="str">
        <f t="shared" si="104"/>
        <v>-</v>
      </c>
      <c r="BB52" s="187" t="str">
        <f t="shared" si="105"/>
        <v>-</v>
      </c>
      <c r="BC52" s="193" t="str">
        <f t="shared" si="106"/>
        <v>-</v>
      </c>
      <c r="BD52">
        <f t="shared" si="170"/>
        <v>15</v>
      </c>
      <c r="BE52">
        <f t="shared" si="170"/>
        <v>15</v>
      </c>
      <c r="BF52">
        <f t="shared" si="170"/>
        <v>15</v>
      </c>
      <c r="BG52">
        <f t="shared" si="170"/>
        <v>15</v>
      </c>
      <c r="BH52">
        <f t="shared" si="170"/>
        <v>15</v>
      </c>
      <c r="BI52">
        <f t="shared" si="170"/>
        <v>15</v>
      </c>
      <c r="BJ52">
        <f t="shared" si="170"/>
        <v>15</v>
      </c>
      <c r="BK52">
        <f t="shared" si="170"/>
        <v>15</v>
      </c>
      <c r="BL52">
        <f t="shared" si="170"/>
        <v>15</v>
      </c>
      <c r="BM52">
        <f t="shared" si="170"/>
        <v>15</v>
      </c>
      <c r="BN52">
        <f t="shared" si="170"/>
        <v>15</v>
      </c>
      <c r="BO52">
        <f t="shared" si="170"/>
        <v>15</v>
      </c>
      <c r="BP52">
        <f t="shared" si="184"/>
        <v>1.25</v>
      </c>
      <c r="BQ52">
        <f t="shared" si="184"/>
        <v>1.25</v>
      </c>
      <c r="BR52">
        <f t="shared" si="184"/>
        <v>1.25</v>
      </c>
      <c r="BS52">
        <f t="shared" si="184"/>
        <v>1.25</v>
      </c>
      <c r="BT52">
        <f t="shared" si="184"/>
        <v>1.25</v>
      </c>
      <c r="BU52">
        <f t="shared" si="184"/>
        <v>1.25</v>
      </c>
      <c r="BV52">
        <f t="shared" si="184"/>
        <v>1.25</v>
      </c>
      <c r="BW52">
        <f t="shared" si="184"/>
        <v>1.25</v>
      </c>
      <c r="BX52">
        <f t="shared" si="184"/>
        <v>1.25</v>
      </c>
      <c r="BY52">
        <f t="shared" si="184"/>
        <v>1.25</v>
      </c>
      <c r="BZ52">
        <f t="shared" si="184"/>
        <v>1.25</v>
      </c>
      <c r="CA52">
        <f t="shared" si="184"/>
        <v>1.25</v>
      </c>
    </row>
    <row r="53" spans="1:79" ht="15.75" thickBot="1" x14ac:dyDescent="0.3">
      <c r="A53" s="837"/>
      <c r="B53" s="239" t="s">
        <v>11</v>
      </c>
      <c r="C53" s="236">
        <v>4</v>
      </c>
      <c r="D53" s="237">
        <v>12</v>
      </c>
      <c r="E53" s="238">
        <v>15</v>
      </c>
      <c r="F53" s="238">
        <v>600</v>
      </c>
      <c r="G53" s="272">
        <f>ROUND(E53*0.9, 0)</f>
        <v>14</v>
      </c>
      <c r="H53" s="238">
        <v>500</v>
      </c>
      <c r="I53" s="239">
        <v>0</v>
      </c>
      <c r="J53" s="239">
        <v>1.05</v>
      </c>
      <c r="K53" s="236"/>
      <c r="L53" s="214">
        <f t="shared" si="165"/>
        <v>13.333333333333332</v>
      </c>
      <c r="M53" s="215">
        <f t="shared" si="183"/>
        <v>1.1111111111111109</v>
      </c>
      <c r="N53" s="179">
        <f t="shared" ref="N53:W62" si="185">IF(AND(N$2&lt;=$F53,($E53-$I53*N$2/100)/$J53&gt;0),($E53-$I53*N$2/100)/$J53,"-")</f>
        <v>14.285714285714285</v>
      </c>
      <c r="O53" s="180">
        <f t="shared" si="185"/>
        <v>14.285714285714285</v>
      </c>
      <c r="P53" s="180">
        <f t="shared" si="185"/>
        <v>14.285714285714285</v>
      </c>
      <c r="Q53" s="180">
        <f t="shared" si="185"/>
        <v>14.285714285714285</v>
      </c>
      <c r="R53" s="180">
        <f t="shared" si="185"/>
        <v>14.285714285714285</v>
      </c>
      <c r="S53" s="180">
        <f t="shared" si="185"/>
        <v>14.285714285714285</v>
      </c>
      <c r="T53" s="180">
        <f t="shared" si="185"/>
        <v>14.285714285714285</v>
      </c>
      <c r="U53" s="180">
        <f t="shared" si="185"/>
        <v>14.285714285714285</v>
      </c>
      <c r="V53" s="180">
        <f t="shared" si="185"/>
        <v>14.285714285714285</v>
      </c>
      <c r="W53" s="180">
        <f t="shared" si="185"/>
        <v>14.285714285714285</v>
      </c>
      <c r="X53" s="180">
        <f t="shared" ref="X53:AH62" si="186">IF(AND(X$2&lt;=$F53,($E53-$I53*X$2/100)/$J53&gt;0),($E53-$I53*X$2/100)/$J53,"-")</f>
        <v>14.285714285714285</v>
      </c>
      <c r="Y53" s="181">
        <f t="shared" si="186"/>
        <v>14.285714285714285</v>
      </c>
      <c r="Z53" s="180">
        <f t="shared" si="186"/>
        <v>14.285714285714285</v>
      </c>
      <c r="AA53" s="180" t="str">
        <f t="shared" si="186"/>
        <v>-</v>
      </c>
      <c r="AB53" s="180" t="str">
        <f t="shared" si="186"/>
        <v>-</v>
      </c>
      <c r="AC53" s="180" t="str">
        <f t="shared" si="186"/>
        <v>-</v>
      </c>
      <c r="AD53" s="180" t="str">
        <f t="shared" si="186"/>
        <v>-</v>
      </c>
      <c r="AE53" s="180" t="str">
        <f t="shared" si="186"/>
        <v>-</v>
      </c>
      <c r="AF53" s="180" t="str">
        <f t="shared" si="186"/>
        <v>-</v>
      </c>
      <c r="AG53" s="180" t="str">
        <f t="shared" si="186"/>
        <v>-</v>
      </c>
      <c r="AH53" s="181" t="str">
        <f t="shared" si="186"/>
        <v>-</v>
      </c>
      <c r="AI53" s="179">
        <f t="shared" si="86"/>
        <v>1.1904761904761905</v>
      </c>
      <c r="AJ53" s="180">
        <f t="shared" si="87"/>
        <v>1.1904761904761905</v>
      </c>
      <c r="AK53" s="180">
        <f t="shared" si="88"/>
        <v>1.1904761904761905</v>
      </c>
      <c r="AL53" s="180">
        <f t="shared" si="89"/>
        <v>1.1904761904761905</v>
      </c>
      <c r="AM53" s="180">
        <f t="shared" si="90"/>
        <v>1.1904761904761905</v>
      </c>
      <c r="AN53" s="180">
        <f t="shared" si="91"/>
        <v>1.1904761904761905</v>
      </c>
      <c r="AO53" s="180">
        <f t="shared" si="92"/>
        <v>1.1904761904761905</v>
      </c>
      <c r="AP53" s="180">
        <f t="shared" si="93"/>
        <v>1.1904761904761905</v>
      </c>
      <c r="AQ53" s="180">
        <f t="shared" si="94"/>
        <v>1.1904761904761905</v>
      </c>
      <c r="AR53" s="180">
        <f t="shared" si="95"/>
        <v>1.1904761904761905</v>
      </c>
      <c r="AS53" s="180">
        <f t="shared" si="96"/>
        <v>1.1904761904761905</v>
      </c>
      <c r="AT53" s="180">
        <f t="shared" si="97"/>
        <v>1.1904761904761905</v>
      </c>
      <c r="AU53" s="180">
        <f t="shared" si="98"/>
        <v>1.1904761904761905</v>
      </c>
      <c r="AV53" s="180" t="str">
        <f t="shared" si="99"/>
        <v>-</v>
      </c>
      <c r="AW53" s="180" t="str">
        <f t="shared" si="100"/>
        <v>-</v>
      </c>
      <c r="AX53" s="180" t="str">
        <f t="shared" si="101"/>
        <v>-</v>
      </c>
      <c r="AY53" s="180" t="str">
        <f t="shared" si="102"/>
        <v>-</v>
      </c>
      <c r="AZ53" s="180" t="str">
        <f t="shared" si="103"/>
        <v>-</v>
      </c>
      <c r="BA53" s="180" t="str">
        <f t="shared" si="104"/>
        <v>-</v>
      </c>
      <c r="BB53" s="180" t="str">
        <f t="shared" si="105"/>
        <v>-</v>
      </c>
      <c r="BC53" s="205" t="str">
        <f t="shared" si="106"/>
        <v>-</v>
      </c>
      <c r="BD53">
        <f t="shared" si="170"/>
        <v>15</v>
      </c>
      <c r="BE53">
        <f t="shared" si="170"/>
        <v>15</v>
      </c>
      <c r="BF53">
        <f t="shared" si="170"/>
        <v>15</v>
      </c>
      <c r="BG53">
        <f t="shared" si="170"/>
        <v>15</v>
      </c>
      <c r="BH53">
        <f t="shared" si="170"/>
        <v>15</v>
      </c>
      <c r="BI53">
        <f t="shared" si="170"/>
        <v>15</v>
      </c>
      <c r="BJ53">
        <f t="shared" si="170"/>
        <v>15</v>
      </c>
      <c r="BK53">
        <f t="shared" si="170"/>
        <v>15</v>
      </c>
      <c r="BL53">
        <f t="shared" si="170"/>
        <v>15</v>
      </c>
      <c r="BM53">
        <f t="shared" si="170"/>
        <v>15</v>
      </c>
      <c r="BN53">
        <f t="shared" si="170"/>
        <v>15</v>
      </c>
      <c r="BO53">
        <f t="shared" si="170"/>
        <v>15</v>
      </c>
      <c r="BP53">
        <f t="shared" si="184"/>
        <v>1.25</v>
      </c>
      <c r="BQ53">
        <f t="shared" si="184"/>
        <v>1.25</v>
      </c>
      <c r="BR53">
        <f t="shared" si="184"/>
        <v>1.25</v>
      </c>
      <c r="BS53">
        <f t="shared" si="184"/>
        <v>1.25</v>
      </c>
      <c r="BT53">
        <f t="shared" si="184"/>
        <v>1.25</v>
      </c>
      <c r="BU53">
        <f t="shared" si="184"/>
        <v>1.25</v>
      </c>
      <c r="BV53">
        <f t="shared" si="184"/>
        <v>1.25</v>
      </c>
      <c r="BW53">
        <f t="shared" si="184"/>
        <v>1.25</v>
      </c>
      <c r="BX53">
        <f t="shared" si="184"/>
        <v>1.25</v>
      </c>
      <c r="BY53">
        <f t="shared" si="184"/>
        <v>1.25</v>
      </c>
      <c r="BZ53">
        <f t="shared" si="184"/>
        <v>1.25</v>
      </c>
      <c r="CA53">
        <f t="shared" si="184"/>
        <v>1.25</v>
      </c>
    </row>
    <row r="54" spans="1:79" x14ac:dyDescent="0.25">
      <c r="A54" s="835" t="s">
        <v>189</v>
      </c>
      <c r="B54" s="240" t="s">
        <v>9</v>
      </c>
      <c r="C54" s="231">
        <v>5</v>
      </c>
      <c r="D54" s="232">
        <v>12</v>
      </c>
      <c r="E54" s="233">
        <v>24</v>
      </c>
      <c r="F54" s="233">
        <v>750</v>
      </c>
      <c r="G54" s="274">
        <f t="shared" ref="G54:G57" si="187">ROUND(E54*0.9, 0)</f>
        <v>22</v>
      </c>
      <c r="H54" s="248">
        <v>500</v>
      </c>
      <c r="I54" s="234">
        <v>0</v>
      </c>
      <c r="J54" s="234">
        <v>1.5</v>
      </c>
      <c r="K54" s="231"/>
      <c r="L54" s="212">
        <f t="shared" si="165"/>
        <v>14.666666666666666</v>
      </c>
      <c r="M54" s="213">
        <f t="shared" si="183"/>
        <v>1.2222222222222221</v>
      </c>
      <c r="N54" s="176">
        <f t="shared" si="185"/>
        <v>16</v>
      </c>
      <c r="O54" s="177">
        <f t="shared" si="185"/>
        <v>16</v>
      </c>
      <c r="P54" s="177">
        <f t="shared" si="185"/>
        <v>16</v>
      </c>
      <c r="Q54" s="177">
        <f t="shared" si="185"/>
        <v>16</v>
      </c>
      <c r="R54" s="177">
        <f t="shared" si="185"/>
        <v>16</v>
      </c>
      <c r="S54" s="177">
        <f t="shared" si="185"/>
        <v>16</v>
      </c>
      <c r="T54" s="177">
        <f t="shared" si="185"/>
        <v>16</v>
      </c>
      <c r="U54" s="177">
        <f t="shared" si="185"/>
        <v>16</v>
      </c>
      <c r="V54" s="177">
        <f t="shared" si="185"/>
        <v>16</v>
      </c>
      <c r="W54" s="177">
        <f t="shared" si="185"/>
        <v>16</v>
      </c>
      <c r="X54" s="177">
        <f t="shared" si="186"/>
        <v>16</v>
      </c>
      <c r="Y54" s="178">
        <f t="shared" si="186"/>
        <v>16</v>
      </c>
      <c r="Z54" s="177">
        <f t="shared" si="186"/>
        <v>16</v>
      </c>
      <c r="AA54" s="177">
        <f t="shared" si="186"/>
        <v>16</v>
      </c>
      <c r="AB54" s="177">
        <f t="shared" si="186"/>
        <v>16</v>
      </c>
      <c r="AC54" s="177">
        <f t="shared" si="186"/>
        <v>16</v>
      </c>
      <c r="AD54" s="177" t="str">
        <f t="shared" si="186"/>
        <v>-</v>
      </c>
      <c r="AE54" s="177" t="str">
        <f t="shared" si="186"/>
        <v>-</v>
      </c>
      <c r="AF54" s="177" t="str">
        <f t="shared" si="186"/>
        <v>-</v>
      </c>
      <c r="AG54" s="177" t="str">
        <f t="shared" si="186"/>
        <v>-</v>
      </c>
      <c r="AH54" s="178" t="str">
        <f t="shared" si="186"/>
        <v>-</v>
      </c>
      <c r="AI54" s="176">
        <f t="shared" si="86"/>
        <v>1.3333333333333333</v>
      </c>
      <c r="AJ54" s="177">
        <f t="shared" si="87"/>
        <v>1.3333333333333333</v>
      </c>
      <c r="AK54" s="177">
        <f t="shared" si="88"/>
        <v>1.3333333333333333</v>
      </c>
      <c r="AL54" s="177">
        <f t="shared" si="89"/>
        <v>1.3333333333333333</v>
      </c>
      <c r="AM54" s="177">
        <f t="shared" si="90"/>
        <v>1.3333333333333333</v>
      </c>
      <c r="AN54" s="177">
        <f t="shared" si="91"/>
        <v>1.3333333333333333</v>
      </c>
      <c r="AO54" s="177">
        <f t="shared" si="92"/>
        <v>1.3333333333333333</v>
      </c>
      <c r="AP54" s="177">
        <f t="shared" si="93"/>
        <v>1.3333333333333333</v>
      </c>
      <c r="AQ54" s="177">
        <f t="shared" si="94"/>
        <v>1.3333333333333333</v>
      </c>
      <c r="AR54" s="177">
        <f t="shared" si="95"/>
        <v>1.3333333333333333</v>
      </c>
      <c r="AS54" s="177">
        <f t="shared" si="96"/>
        <v>1.3333333333333333</v>
      </c>
      <c r="AT54" s="177">
        <f t="shared" si="97"/>
        <v>1.3333333333333333</v>
      </c>
      <c r="AU54" s="177">
        <f t="shared" si="98"/>
        <v>1.3333333333333333</v>
      </c>
      <c r="AV54" s="177">
        <f t="shared" si="99"/>
        <v>1.3333333333333333</v>
      </c>
      <c r="AW54" s="177">
        <f t="shared" si="100"/>
        <v>1.3333333333333333</v>
      </c>
      <c r="AX54" s="177">
        <f t="shared" si="101"/>
        <v>1.3333333333333333</v>
      </c>
      <c r="AY54" s="177" t="str">
        <f t="shared" si="102"/>
        <v>-</v>
      </c>
      <c r="AZ54" s="177" t="str">
        <f t="shared" si="103"/>
        <v>-</v>
      </c>
      <c r="BA54" s="177" t="str">
        <f t="shared" si="104"/>
        <v>-</v>
      </c>
      <c r="BB54" s="177" t="str">
        <f t="shared" si="105"/>
        <v>-</v>
      </c>
      <c r="BC54" s="204" t="str">
        <f t="shared" si="106"/>
        <v>-</v>
      </c>
      <c r="BD54">
        <f t="shared" si="170"/>
        <v>24</v>
      </c>
      <c r="BE54">
        <f t="shared" si="170"/>
        <v>24</v>
      </c>
      <c r="BF54">
        <f t="shared" si="170"/>
        <v>24</v>
      </c>
      <c r="BG54">
        <f t="shared" si="170"/>
        <v>24</v>
      </c>
      <c r="BH54">
        <f t="shared" si="170"/>
        <v>24</v>
      </c>
      <c r="BI54">
        <f t="shared" si="170"/>
        <v>24</v>
      </c>
      <c r="BJ54">
        <f t="shared" si="170"/>
        <v>24</v>
      </c>
      <c r="BK54">
        <f t="shared" si="170"/>
        <v>24</v>
      </c>
      <c r="BL54">
        <f t="shared" si="170"/>
        <v>24</v>
      </c>
      <c r="BM54">
        <f t="shared" si="170"/>
        <v>24</v>
      </c>
      <c r="BN54">
        <f t="shared" si="170"/>
        <v>24</v>
      </c>
      <c r="BO54">
        <f t="shared" si="170"/>
        <v>24</v>
      </c>
      <c r="BP54">
        <f t="shared" si="150"/>
        <v>2</v>
      </c>
      <c r="BQ54">
        <f t="shared" si="151"/>
        <v>2</v>
      </c>
      <c r="BR54">
        <f t="shared" si="152"/>
        <v>2</v>
      </c>
      <c r="BS54">
        <f t="shared" si="153"/>
        <v>2</v>
      </c>
      <c r="BT54">
        <f t="shared" si="154"/>
        <v>2</v>
      </c>
      <c r="BU54">
        <f t="shared" si="155"/>
        <v>2</v>
      </c>
      <c r="BV54">
        <f t="shared" si="156"/>
        <v>2</v>
      </c>
      <c r="BW54">
        <f t="shared" si="157"/>
        <v>2</v>
      </c>
      <c r="BX54">
        <f t="shared" si="158"/>
        <v>2</v>
      </c>
      <c r="BY54">
        <f t="shared" si="159"/>
        <v>2</v>
      </c>
      <c r="BZ54">
        <f t="shared" si="160"/>
        <v>2</v>
      </c>
      <c r="CA54">
        <f t="shared" si="161"/>
        <v>2</v>
      </c>
    </row>
    <row r="55" spans="1:79" x14ac:dyDescent="0.25">
      <c r="A55" s="838"/>
      <c r="B55" s="244" t="s">
        <v>10</v>
      </c>
      <c r="C55" s="245">
        <v>6</v>
      </c>
      <c r="D55" s="246">
        <v>12</v>
      </c>
      <c r="E55" s="247">
        <v>24</v>
      </c>
      <c r="F55" s="247">
        <v>750</v>
      </c>
      <c r="G55" s="273">
        <f t="shared" ref="G55" si="188">ROUND(E55*0.9, 0)</f>
        <v>22</v>
      </c>
      <c r="H55" s="247">
        <v>550</v>
      </c>
      <c r="I55" s="244">
        <v>0</v>
      </c>
      <c r="J55" s="244">
        <v>1.35</v>
      </c>
      <c r="K55" s="245"/>
      <c r="L55" s="218">
        <f t="shared" si="165"/>
        <v>16.296296296296294</v>
      </c>
      <c r="M55" s="219">
        <f t="shared" si="183"/>
        <v>1.3580246913580245</v>
      </c>
      <c r="N55" s="186">
        <f t="shared" si="185"/>
        <v>17.777777777777775</v>
      </c>
      <c r="O55" s="187">
        <f t="shared" si="185"/>
        <v>17.777777777777775</v>
      </c>
      <c r="P55" s="187">
        <f t="shared" si="185"/>
        <v>17.777777777777775</v>
      </c>
      <c r="Q55" s="187">
        <f t="shared" si="185"/>
        <v>17.777777777777775</v>
      </c>
      <c r="R55" s="187">
        <f t="shared" si="185"/>
        <v>17.777777777777775</v>
      </c>
      <c r="S55" s="187">
        <f t="shared" si="185"/>
        <v>17.777777777777775</v>
      </c>
      <c r="T55" s="187">
        <f t="shared" si="185"/>
        <v>17.777777777777775</v>
      </c>
      <c r="U55" s="189">
        <f t="shared" si="185"/>
        <v>17.777777777777775</v>
      </c>
      <c r="V55" s="189">
        <f t="shared" si="185"/>
        <v>17.777777777777775</v>
      </c>
      <c r="W55" s="189">
        <f t="shared" si="185"/>
        <v>17.777777777777775</v>
      </c>
      <c r="X55" s="189">
        <f t="shared" si="186"/>
        <v>17.777777777777775</v>
      </c>
      <c r="Y55" s="190">
        <f t="shared" si="186"/>
        <v>17.777777777777775</v>
      </c>
      <c r="Z55" s="187">
        <f t="shared" si="186"/>
        <v>17.777777777777775</v>
      </c>
      <c r="AA55" s="187">
        <f t="shared" si="186"/>
        <v>17.777777777777775</v>
      </c>
      <c r="AB55" s="187">
        <f t="shared" si="186"/>
        <v>17.777777777777775</v>
      </c>
      <c r="AC55" s="187">
        <f t="shared" si="186"/>
        <v>17.777777777777775</v>
      </c>
      <c r="AD55" s="187" t="str">
        <f t="shared" si="186"/>
        <v>-</v>
      </c>
      <c r="AE55" s="187" t="str">
        <f t="shared" si="186"/>
        <v>-</v>
      </c>
      <c r="AF55" s="187" t="str">
        <f t="shared" si="186"/>
        <v>-</v>
      </c>
      <c r="AG55" s="189" t="str">
        <f t="shared" si="186"/>
        <v>-</v>
      </c>
      <c r="AH55" s="190" t="str">
        <f t="shared" si="186"/>
        <v>-</v>
      </c>
      <c r="AI55" s="186">
        <f t="shared" si="86"/>
        <v>1.4814814814814812</v>
      </c>
      <c r="AJ55" s="187">
        <f t="shared" si="87"/>
        <v>1.4814814814814812</v>
      </c>
      <c r="AK55" s="187">
        <f t="shared" si="88"/>
        <v>1.4814814814814812</v>
      </c>
      <c r="AL55" s="187">
        <f t="shared" si="89"/>
        <v>1.4814814814814812</v>
      </c>
      <c r="AM55" s="187">
        <f t="shared" si="90"/>
        <v>1.4814814814814812</v>
      </c>
      <c r="AN55" s="187">
        <f t="shared" si="91"/>
        <v>1.4814814814814812</v>
      </c>
      <c r="AO55" s="187">
        <f t="shared" si="92"/>
        <v>1.4814814814814812</v>
      </c>
      <c r="AP55" s="187">
        <f t="shared" si="93"/>
        <v>1.4814814814814812</v>
      </c>
      <c r="AQ55" s="187">
        <f t="shared" si="94"/>
        <v>1.4814814814814812</v>
      </c>
      <c r="AR55" s="187">
        <f t="shared" si="95"/>
        <v>1.4814814814814812</v>
      </c>
      <c r="AS55" s="187">
        <f t="shared" si="96"/>
        <v>1.4814814814814812</v>
      </c>
      <c r="AT55" s="187">
        <f t="shared" si="97"/>
        <v>1.4814814814814812</v>
      </c>
      <c r="AU55" s="187">
        <f t="shared" si="98"/>
        <v>1.4814814814814812</v>
      </c>
      <c r="AV55" s="187">
        <f t="shared" si="99"/>
        <v>1.4814814814814812</v>
      </c>
      <c r="AW55" s="187">
        <f t="shared" si="100"/>
        <v>1.4814814814814812</v>
      </c>
      <c r="AX55" s="187">
        <f t="shared" si="101"/>
        <v>1.4814814814814812</v>
      </c>
      <c r="AY55" s="187" t="str">
        <f t="shared" si="102"/>
        <v>-</v>
      </c>
      <c r="AZ55" s="187" t="str">
        <f t="shared" si="103"/>
        <v>-</v>
      </c>
      <c r="BA55" s="187" t="str">
        <f t="shared" si="104"/>
        <v>-</v>
      </c>
      <c r="BB55" s="187" t="str">
        <f t="shared" si="105"/>
        <v>-</v>
      </c>
      <c r="BC55" s="193" t="str">
        <f t="shared" si="106"/>
        <v>-</v>
      </c>
      <c r="BD55">
        <f t="shared" si="170"/>
        <v>24</v>
      </c>
      <c r="BE55">
        <f t="shared" si="170"/>
        <v>24</v>
      </c>
      <c r="BF55">
        <f t="shared" si="170"/>
        <v>24</v>
      </c>
      <c r="BG55">
        <f t="shared" si="170"/>
        <v>24</v>
      </c>
      <c r="BH55">
        <f t="shared" si="170"/>
        <v>24</v>
      </c>
      <c r="BI55">
        <f t="shared" si="170"/>
        <v>24</v>
      </c>
      <c r="BJ55">
        <f t="shared" si="170"/>
        <v>24</v>
      </c>
      <c r="BK55">
        <f t="shared" si="170"/>
        <v>24</v>
      </c>
      <c r="BL55">
        <f t="shared" si="170"/>
        <v>24</v>
      </c>
      <c r="BM55">
        <f t="shared" si="170"/>
        <v>24</v>
      </c>
      <c r="BN55">
        <f t="shared" si="170"/>
        <v>24</v>
      </c>
      <c r="BO55">
        <f t="shared" si="170"/>
        <v>24</v>
      </c>
      <c r="BP55">
        <f t="shared" si="150"/>
        <v>2</v>
      </c>
      <c r="BQ55">
        <f t="shared" si="151"/>
        <v>2</v>
      </c>
      <c r="BR55">
        <f t="shared" si="152"/>
        <v>2</v>
      </c>
      <c r="BS55">
        <f t="shared" si="153"/>
        <v>2</v>
      </c>
      <c r="BT55">
        <f t="shared" si="154"/>
        <v>2</v>
      </c>
      <c r="BU55">
        <f t="shared" si="155"/>
        <v>2</v>
      </c>
      <c r="BV55">
        <f t="shared" si="156"/>
        <v>2</v>
      </c>
      <c r="BW55">
        <f t="shared" si="157"/>
        <v>2</v>
      </c>
      <c r="BX55">
        <f t="shared" si="158"/>
        <v>2</v>
      </c>
      <c r="BY55">
        <f t="shared" si="159"/>
        <v>2</v>
      </c>
      <c r="BZ55">
        <f t="shared" si="160"/>
        <v>2</v>
      </c>
      <c r="CA55">
        <f t="shared" si="161"/>
        <v>2</v>
      </c>
    </row>
    <row r="56" spans="1:79" ht="15.75" thickBot="1" x14ac:dyDescent="0.3">
      <c r="A56" s="839"/>
      <c r="B56" s="249" t="s">
        <v>11</v>
      </c>
      <c r="C56" s="250">
        <v>7</v>
      </c>
      <c r="D56" s="251">
        <v>12</v>
      </c>
      <c r="E56" s="252">
        <v>24</v>
      </c>
      <c r="F56" s="252">
        <v>750</v>
      </c>
      <c r="G56" s="275">
        <f t="shared" si="187"/>
        <v>22</v>
      </c>
      <c r="H56" s="252">
        <v>600</v>
      </c>
      <c r="I56" s="249">
        <v>0</v>
      </c>
      <c r="J56" s="249">
        <v>1.2</v>
      </c>
      <c r="K56" s="250"/>
      <c r="L56" s="220">
        <f t="shared" si="165"/>
        <v>18.333333333333336</v>
      </c>
      <c r="M56" s="221">
        <f t="shared" si="183"/>
        <v>1.5277777777777779</v>
      </c>
      <c r="N56" s="194">
        <f t="shared" si="185"/>
        <v>20</v>
      </c>
      <c r="O56" s="195">
        <f t="shared" si="185"/>
        <v>20</v>
      </c>
      <c r="P56" s="195">
        <f t="shared" si="185"/>
        <v>20</v>
      </c>
      <c r="Q56" s="195">
        <f t="shared" si="185"/>
        <v>20</v>
      </c>
      <c r="R56" s="195">
        <f t="shared" si="185"/>
        <v>20</v>
      </c>
      <c r="S56" s="195">
        <f t="shared" si="185"/>
        <v>20</v>
      </c>
      <c r="T56" s="195">
        <f t="shared" si="185"/>
        <v>20</v>
      </c>
      <c r="U56" s="196">
        <f t="shared" si="185"/>
        <v>20</v>
      </c>
      <c r="V56" s="196">
        <f t="shared" si="185"/>
        <v>20</v>
      </c>
      <c r="W56" s="196">
        <f t="shared" si="185"/>
        <v>20</v>
      </c>
      <c r="X56" s="196">
        <f t="shared" si="186"/>
        <v>20</v>
      </c>
      <c r="Y56" s="197">
        <f t="shared" si="186"/>
        <v>20</v>
      </c>
      <c r="Z56" s="195">
        <f t="shared" si="186"/>
        <v>20</v>
      </c>
      <c r="AA56" s="195">
        <f t="shared" si="186"/>
        <v>20</v>
      </c>
      <c r="AB56" s="195">
        <f t="shared" si="186"/>
        <v>20</v>
      </c>
      <c r="AC56" s="195">
        <f t="shared" si="186"/>
        <v>20</v>
      </c>
      <c r="AD56" s="195" t="str">
        <f t="shared" si="186"/>
        <v>-</v>
      </c>
      <c r="AE56" s="195" t="str">
        <f t="shared" si="186"/>
        <v>-</v>
      </c>
      <c r="AF56" s="195" t="str">
        <f t="shared" si="186"/>
        <v>-</v>
      </c>
      <c r="AG56" s="196" t="str">
        <f t="shared" si="186"/>
        <v>-</v>
      </c>
      <c r="AH56" s="197" t="str">
        <f t="shared" si="186"/>
        <v>-</v>
      </c>
      <c r="AI56" s="194">
        <f t="shared" si="86"/>
        <v>1.6666666666666667</v>
      </c>
      <c r="AJ56" s="195">
        <f t="shared" si="87"/>
        <v>1.6666666666666667</v>
      </c>
      <c r="AK56" s="195">
        <f t="shared" si="88"/>
        <v>1.6666666666666667</v>
      </c>
      <c r="AL56" s="195">
        <f t="shared" si="89"/>
        <v>1.6666666666666667</v>
      </c>
      <c r="AM56" s="195">
        <f t="shared" si="90"/>
        <v>1.6666666666666667</v>
      </c>
      <c r="AN56" s="195">
        <f t="shared" si="91"/>
        <v>1.6666666666666667</v>
      </c>
      <c r="AO56" s="195">
        <f t="shared" si="92"/>
        <v>1.6666666666666667</v>
      </c>
      <c r="AP56" s="195">
        <f t="shared" si="93"/>
        <v>1.6666666666666667</v>
      </c>
      <c r="AQ56" s="195">
        <f t="shared" si="94"/>
        <v>1.6666666666666667</v>
      </c>
      <c r="AR56" s="195">
        <f t="shared" si="95"/>
        <v>1.6666666666666667</v>
      </c>
      <c r="AS56" s="195">
        <f t="shared" si="96"/>
        <v>1.6666666666666667</v>
      </c>
      <c r="AT56" s="195">
        <f t="shared" si="97"/>
        <v>1.6666666666666667</v>
      </c>
      <c r="AU56" s="195">
        <f t="shared" si="98"/>
        <v>1.6666666666666667</v>
      </c>
      <c r="AV56" s="195">
        <f t="shared" si="99"/>
        <v>1.6666666666666667</v>
      </c>
      <c r="AW56" s="195">
        <f t="shared" si="100"/>
        <v>1.6666666666666667</v>
      </c>
      <c r="AX56" s="195">
        <f t="shared" si="101"/>
        <v>1.6666666666666667</v>
      </c>
      <c r="AY56" s="195" t="str">
        <f t="shared" si="102"/>
        <v>-</v>
      </c>
      <c r="AZ56" s="195" t="str">
        <f t="shared" si="103"/>
        <v>-</v>
      </c>
      <c r="BA56" s="195" t="str">
        <f t="shared" si="104"/>
        <v>-</v>
      </c>
      <c r="BB56" s="195" t="str">
        <f t="shared" si="105"/>
        <v>-</v>
      </c>
      <c r="BC56" s="210" t="str">
        <f t="shared" si="106"/>
        <v>-</v>
      </c>
      <c r="BD56">
        <f t="shared" si="170"/>
        <v>24</v>
      </c>
      <c r="BE56">
        <f t="shared" si="170"/>
        <v>24</v>
      </c>
      <c r="BF56">
        <f t="shared" si="170"/>
        <v>24</v>
      </c>
      <c r="BG56">
        <f t="shared" si="170"/>
        <v>24</v>
      </c>
      <c r="BH56">
        <f t="shared" si="170"/>
        <v>24</v>
      </c>
      <c r="BI56">
        <f t="shared" si="170"/>
        <v>24</v>
      </c>
      <c r="BJ56">
        <f t="shared" si="170"/>
        <v>24</v>
      </c>
      <c r="BK56">
        <f t="shared" si="170"/>
        <v>24</v>
      </c>
      <c r="BL56">
        <f t="shared" si="170"/>
        <v>24</v>
      </c>
      <c r="BM56">
        <f t="shared" si="170"/>
        <v>24</v>
      </c>
      <c r="BN56">
        <f t="shared" si="170"/>
        <v>24</v>
      </c>
      <c r="BO56">
        <f t="shared" si="170"/>
        <v>24</v>
      </c>
      <c r="BP56">
        <f t="shared" si="150"/>
        <v>2</v>
      </c>
      <c r="BQ56">
        <f t="shared" si="151"/>
        <v>2</v>
      </c>
      <c r="BR56">
        <f t="shared" si="152"/>
        <v>2</v>
      </c>
      <c r="BS56">
        <f t="shared" si="153"/>
        <v>2</v>
      </c>
      <c r="BT56">
        <f t="shared" si="154"/>
        <v>2</v>
      </c>
      <c r="BU56">
        <f t="shared" si="155"/>
        <v>2</v>
      </c>
      <c r="BV56">
        <f t="shared" si="156"/>
        <v>2</v>
      </c>
      <c r="BW56">
        <f t="shared" si="157"/>
        <v>2</v>
      </c>
      <c r="BX56">
        <f t="shared" si="158"/>
        <v>2</v>
      </c>
      <c r="BY56">
        <f t="shared" si="159"/>
        <v>2</v>
      </c>
      <c r="BZ56">
        <f t="shared" si="160"/>
        <v>2</v>
      </c>
      <c r="CA56">
        <f t="shared" si="161"/>
        <v>2</v>
      </c>
    </row>
    <row r="57" spans="1:79" ht="15.75" thickBot="1" x14ac:dyDescent="0.3">
      <c r="A57" s="148" t="s">
        <v>191</v>
      </c>
      <c r="B57" s="253" t="s">
        <v>24</v>
      </c>
      <c r="C57" s="254">
        <v>8</v>
      </c>
      <c r="D57" s="255">
        <v>12</v>
      </c>
      <c r="E57" s="256">
        <v>70</v>
      </c>
      <c r="F57" s="256">
        <v>900</v>
      </c>
      <c r="G57" s="276">
        <f t="shared" si="187"/>
        <v>63</v>
      </c>
      <c r="H57" s="256">
        <v>600</v>
      </c>
      <c r="I57" s="253">
        <v>0</v>
      </c>
      <c r="J57" s="253">
        <v>3</v>
      </c>
      <c r="K57" s="254"/>
      <c r="L57" s="222">
        <f t="shared" si="165"/>
        <v>21</v>
      </c>
      <c r="M57" s="223">
        <f t="shared" si="183"/>
        <v>1.75</v>
      </c>
      <c r="N57" s="201">
        <f t="shared" si="185"/>
        <v>23.333333333333332</v>
      </c>
      <c r="O57" s="198">
        <f t="shared" si="185"/>
        <v>23.333333333333332</v>
      </c>
      <c r="P57" s="198">
        <f t="shared" si="185"/>
        <v>23.333333333333332</v>
      </c>
      <c r="Q57" s="198">
        <f t="shared" si="185"/>
        <v>23.333333333333332</v>
      </c>
      <c r="R57" s="198">
        <f t="shared" si="185"/>
        <v>23.333333333333332</v>
      </c>
      <c r="S57" s="198">
        <f t="shared" si="185"/>
        <v>23.333333333333332</v>
      </c>
      <c r="T57" s="198">
        <f t="shared" si="185"/>
        <v>23.333333333333332</v>
      </c>
      <c r="U57" s="199">
        <f t="shared" si="185"/>
        <v>23.333333333333332</v>
      </c>
      <c r="V57" s="199">
        <f t="shared" si="185"/>
        <v>23.333333333333332</v>
      </c>
      <c r="W57" s="199">
        <f t="shared" si="185"/>
        <v>23.333333333333332</v>
      </c>
      <c r="X57" s="199">
        <f t="shared" si="186"/>
        <v>23.333333333333332</v>
      </c>
      <c r="Y57" s="200">
        <f t="shared" si="186"/>
        <v>23.333333333333332</v>
      </c>
      <c r="Z57" s="198">
        <f t="shared" si="186"/>
        <v>23.333333333333332</v>
      </c>
      <c r="AA57" s="198">
        <f t="shared" si="186"/>
        <v>23.333333333333332</v>
      </c>
      <c r="AB57" s="198">
        <f t="shared" si="186"/>
        <v>23.333333333333332</v>
      </c>
      <c r="AC57" s="198">
        <f t="shared" si="186"/>
        <v>23.333333333333332</v>
      </c>
      <c r="AD57" s="198">
        <f t="shared" si="186"/>
        <v>23.333333333333332</v>
      </c>
      <c r="AE57" s="198">
        <f t="shared" si="186"/>
        <v>23.333333333333332</v>
      </c>
      <c r="AF57" s="198">
        <f t="shared" si="186"/>
        <v>23.333333333333332</v>
      </c>
      <c r="AG57" s="199" t="str">
        <f t="shared" si="186"/>
        <v>-</v>
      </c>
      <c r="AH57" s="200" t="str">
        <f t="shared" si="186"/>
        <v>-</v>
      </c>
      <c r="AI57" s="201">
        <f t="shared" si="86"/>
        <v>1.9444444444444444</v>
      </c>
      <c r="AJ57" s="198">
        <f t="shared" si="87"/>
        <v>1.9444444444444444</v>
      </c>
      <c r="AK57" s="198">
        <f t="shared" si="88"/>
        <v>1.9444444444444444</v>
      </c>
      <c r="AL57" s="198">
        <f t="shared" si="89"/>
        <v>1.9444444444444444</v>
      </c>
      <c r="AM57" s="198">
        <f t="shared" si="90"/>
        <v>1.9444444444444444</v>
      </c>
      <c r="AN57" s="198">
        <f t="shared" si="91"/>
        <v>1.9444444444444444</v>
      </c>
      <c r="AO57" s="198">
        <f t="shared" si="92"/>
        <v>1.9444444444444444</v>
      </c>
      <c r="AP57" s="198">
        <f t="shared" si="93"/>
        <v>1.9444444444444444</v>
      </c>
      <c r="AQ57" s="198">
        <f t="shared" si="94"/>
        <v>1.9444444444444444</v>
      </c>
      <c r="AR57" s="198">
        <f t="shared" si="95"/>
        <v>1.9444444444444444</v>
      </c>
      <c r="AS57" s="198">
        <f t="shared" si="96"/>
        <v>1.9444444444444444</v>
      </c>
      <c r="AT57" s="198">
        <f t="shared" si="97"/>
        <v>1.9444444444444444</v>
      </c>
      <c r="AU57" s="198">
        <f t="shared" si="98"/>
        <v>1.9444444444444444</v>
      </c>
      <c r="AV57" s="198">
        <f t="shared" si="99"/>
        <v>1.9444444444444444</v>
      </c>
      <c r="AW57" s="198">
        <f t="shared" si="100"/>
        <v>1.9444444444444444</v>
      </c>
      <c r="AX57" s="198">
        <f t="shared" si="101"/>
        <v>1.9444444444444444</v>
      </c>
      <c r="AY57" s="198">
        <f t="shared" si="102"/>
        <v>1.9444444444444444</v>
      </c>
      <c r="AZ57" s="198">
        <f t="shared" si="103"/>
        <v>1.9444444444444444</v>
      </c>
      <c r="BA57" s="198">
        <f t="shared" si="104"/>
        <v>1.9444444444444444</v>
      </c>
      <c r="BB57" s="198" t="str">
        <f t="shared" si="105"/>
        <v>-</v>
      </c>
      <c r="BC57" s="211" t="str">
        <f t="shared" si="106"/>
        <v>-</v>
      </c>
    </row>
    <row r="58" spans="1:79" x14ac:dyDescent="0.25">
      <c r="A58" s="853" t="s">
        <v>192</v>
      </c>
      <c r="B58" s="257" t="s">
        <v>9</v>
      </c>
      <c r="C58" s="258">
        <v>0</v>
      </c>
      <c r="D58" s="259">
        <v>8</v>
      </c>
      <c r="E58" s="260">
        <v>5</v>
      </c>
      <c r="F58" s="260">
        <v>1200</v>
      </c>
      <c r="G58" s="260">
        <v>20</v>
      </c>
      <c r="H58" s="260">
        <v>100</v>
      </c>
      <c r="I58" s="261">
        <v>0</v>
      </c>
      <c r="J58" s="261">
        <v>2.7</v>
      </c>
      <c r="K58" s="258"/>
      <c r="L58" s="224">
        <f t="shared" si="165"/>
        <v>7.4074074074074066</v>
      </c>
      <c r="M58" s="225">
        <f t="shared" si="183"/>
        <v>0.92592592592592582</v>
      </c>
      <c r="N58" s="156">
        <f t="shared" si="185"/>
        <v>1.8518518518518516</v>
      </c>
      <c r="O58" s="157">
        <f t="shared" si="185"/>
        <v>1.8518518518518516</v>
      </c>
      <c r="P58" s="157">
        <f t="shared" si="185"/>
        <v>1.8518518518518516</v>
      </c>
      <c r="Q58" s="157">
        <f t="shared" si="185"/>
        <v>1.8518518518518516</v>
      </c>
      <c r="R58" s="157">
        <f t="shared" si="185"/>
        <v>1.8518518518518516</v>
      </c>
      <c r="S58" s="158">
        <f t="shared" si="185"/>
        <v>1.8518518518518516</v>
      </c>
      <c r="T58" s="158">
        <f t="shared" si="185"/>
        <v>1.8518518518518516</v>
      </c>
      <c r="U58" s="158">
        <f t="shared" si="185"/>
        <v>1.8518518518518516</v>
      </c>
      <c r="V58" s="158">
        <f t="shared" si="185"/>
        <v>1.8518518518518516</v>
      </c>
      <c r="W58" s="159">
        <f t="shared" si="185"/>
        <v>1.8518518518518516</v>
      </c>
      <c r="X58" s="157">
        <f t="shared" si="186"/>
        <v>1.8518518518518516</v>
      </c>
      <c r="Y58" s="157">
        <f t="shared" si="186"/>
        <v>1.8518518518518516</v>
      </c>
      <c r="Z58" s="160">
        <f t="shared" si="186"/>
        <v>1.8518518518518516</v>
      </c>
      <c r="AA58" s="157">
        <f t="shared" si="186"/>
        <v>1.8518518518518516</v>
      </c>
      <c r="AB58" s="157">
        <f t="shared" si="186"/>
        <v>1.8518518518518516</v>
      </c>
      <c r="AC58" s="157">
        <f t="shared" si="186"/>
        <v>1.8518518518518516</v>
      </c>
      <c r="AD58" s="157">
        <f t="shared" si="186"/>
        <v>1.8518518518518516</v>
      </c>
      <c r="AE58" s="158">
        <f t="shared" si="186"/>
        <v>1.8518518518518516</v>
      </c>
      <c r="AF58" s="158">
        <f t="shared" si="186"/>
        <v>1.8518518518518516</v>
      </c>
      <c r="AG58" s="158">
        <f t="shared" si="186"/>
        <v>1.8518518518518516</v>
      </c>
      <c r="AH58" s="159">
        <f t="shared" si="186"/>
        <v>1.8518518518518516</v>
      </c>
      <c r="AI58" s="156">
        <f t="shared" ref="AI58" si="189">IF(N$2&lt;=$F58,N58/$D58,"-")</f>
        <v>0.23148148148148145</v>
      </c>
      <c r="AJ58" s="157">
        <f t="shared" ref="AJ58" si="190">IF(O$2&lt;=$F58,O58/$D58,"-")</f>
        <v>0.23148148148148145</v>
      </c>
      <c r="AK58" s="157">
        <f t="shared" ref="AK58" si="191">IF(P$2&lt;=$F58,P58/$D58,"-")</f>
        <v>0.23148148148148145</v>
      </c>
      <c r="AL58" s="157">
        <f t="shared" ref="AL58" si="192">IF(Q$2&lt;=$F58,Q58/$D58,"-")</f>
        <v>0.23148148148148145</v>
      </c>
      <c r="AM58" s="157">
        <f t="shared" ref="AM58" si="193">IF(R$2&lt;=$F58,R58/$D58,"-")</f>
        <v>0.23148148148148145</v>
      </c>
      <c r="AN58" s="158">
        <f t="shared" ref="AN58" si="194">IF(S$2&lt;=$F58,S58/$D58,"-")</f>
        <v>0.23148148148148145</v>
      </c>
      <c r="AO58" s="158">
        <f t="shared" ref="AO58" si="195">IF(T$2&lt;=$F58,T58/$D58,"-")</f>
        <v>0.23148148148148145</v>
      </c>
      <c r="AP58" s="158">
        <f t="shared" ref="AP58" si="196">IF(U$2&lt;=$F58,U58/$D58,"-")</f>
        <v>0.23148148148148145</v>
      </c>
      <c r="AQ58" s="158">
        <f t="shared" ref="AQ58" si="197">IF(V$2&lt;=$F58,V58/$D58,"-")</f>
        <v>0.23148148148148145</v>
      </c>
      <c r="AR58" s="158">
        <f t="shared" ref="AR58" si="198">IF(W$2&lt;=$F58,W58/$D58,"-")</f>
        <v>0.23148148148148145</v>
      </c>
      <c r="AS58" s="157">
        <f t="shared" ref="AS58" si="199">IF(X$2&lt;=$F58,X58/$D58,"-")</f>
        <v>0.23148148148148145</v>
      </c>
      <c r="AT58" s="157">
        <f t="shared" ref="AT58" si="200">IF(Y$2&lt;=$F58,Y58/$D58,"-")</f>
        <v>0.23148148148148145</v>
      </c>
      <c r="AU58" s="157">
        <f t="shared" ref="AU58" si="201">IF(Z$2&lt;=$F58,Z58/$D58,"-")</f>
        <v>0.23148148148148145</v>
      </c>
      <c r="AV58" s="157">
        <f t="shared" ref="AV58" si="202">IF(AA$2&lt;=$F58,AA58/$D58,"-")</f>
        <v>0.23148148148148145</v>
      </c>
      <c r="AW58" s="158">
        <f t="shared" ref="AW58" si="203">IF(AB$2&lt;=$F58,AB58/$D58,"-")</f>
        <v>0.23148148148148145</v>
      </c>
      <c r="AX58" s="158">
        <f t="shared" ref="AX58" si="204">IF(AC$2&lt;=$F58,AC58/$D58,"-")</f>
        <v>0.23148148148148145</v>
      </c>
      <c r="AY58" s="158">
        <f t="shared" ref="AY58" si="205">IF(AD$2&lt;=$F58,AD58/$D58,"-")</f>
        <v>0.23148148148148145</v>
      </c>
      <c r="AZ58" s="158">
        <f t="shared" ref="AZ58" si="206">IF(AE$2&lt;=$F58,AE58/$D58,"-")</f>
        <v>0.23148148148148145</v>
      </c>
      <c r="BA58" s="158">
        <f t="shared" ref="BA58" si="207">IF(AF$2&lt;=$F58,AF58/$D58,"-")</f>
        <v>0.23148148148148145</v>
      </c>
      <c r="BB58" s="158">
        <f t="shared" ref="BB58" si="208">IF(AG$2&lt;=$F58,AG58/$D58,"-")</f>
        <v>0.23148148148148145</v>
      </c>
      <c r="BC58" s="161">
        <f t="shared" ref="BC58" si="209">IF(AH$2&lt;=$F58,AH58/$D58,"-")</f>
        <v>0.23148148148148145</v>
      </c>
    </row>
    <row r="59" spans="1:79" ht="15.75" thickBot="1" x14ac:dyDescent="0.3">
      <c r="A59" s="854"/>
      <c r="B59" s="262" t="s">
        <v>10</v>
      </c>
      <c r="C59" s="263">
        <v>1</v>
      </c>
      <c r="D59" s="264">
        <v>8</v>
      </c>
      <c r="E59" s="265">
        <v>6</v>
      </c>
      <c r="F59" s="265">
        <v>1200</v>
      </c>
      <c r="G59" s="265">
        <v>20</v>
      </c>
      <c r="H59" s="265">
        <v>125</v>
      </c>
      <c r="I59" s="266">
        <v>0</v>
      </c>
      <c r="J59" s="266">
        <v>2.7</v>
      </c>
      <c r="K59" s="263"/>
      <c r="L59" s="226">
        <f t="shared" si="165"/>
        <v>7.4074074074074066</v>
      </c>
      <c r="M59" s="227">
        <f t="shared" si="183"/>
        <v>0.92592592592592582</v>
      </c>
      <c r="N59" s="168">
        <f t="shared" si="185"/>
        <v>2.2222222222222219</v>
      </c>
      <c r="O59" s="169">
        <f t="shared" si="185"/>
        <v>2.2222222222222219</v>
      </c>
      <c r="P59" s="169">
        <f t="shared" si="185"/>
        <v>2.2222222222222219</v>
      </c>
      <c r="Q59" s="169">
        <f t="shared" si="185"/>
        <v>2.2222222222222219</v>
      </c>
      <c r="R59" s="169">
        <f t="shared" si="185"/>
        <v>2.2222222222222219</v>
      </c>
      <c r="S59" s="172">
        <f t="shared" si="185"/>
        <v>2.2222222222222219</v>
      </c>
      <c r="T59" s="172">
        <f t="shared" si="185"/>
        <v>2.2222222222222219</v>
      </c>
      <c r="U59" s="172">
        <f t="shared" si="185"/>
        <v>2.2222222222222219</v>
      </c>
      <c r="V59" s="172">
        <f t="shared" si="185"/>
        <v>2.2222222222222219</v>
      </c>
      <c r="W59" s="170">
        <f t="shared" si="185"/>
        <v>2.2222222222222219</v>
      </c>
      <c r="X59" s="169">
        <f t="shared" si="186"/>
        <v>2.2222222222222219</v>
      </c>
      <c r="Y59" s="169">
        <f t="shared" si="186"/>
        <v>2.2222222222222219</v>
      </c>
      <c r="Z59" s="171">
        <f t="shared" si="186"/>
        <v>2.2222222222222219</v>
      </c>
      <c r="AA59" s="169">
        <f t="shared" si="186"/>
        <v>2.2222222222222219</v>
      </c>
      <c r="AB59" s="169">
        <f t="shared" si="186"/>
        <v>2.2222222222222219</v>
      </c>
      <c r="AC59" s="169">
        <f t="shared" si="186"/>
        <v>2.2222222222222219</v>
      </c>
      <c r="AD59" s="169">
        <f t="shared" si="186"/>
        <v>2.2222222222222219</v>
      </c>
      <c r="AE59" s="172">
        <f t="shared" si="186"/>
        <v>2.2222222222222219</v>
      </c>
      <c r="AF59" s="172">
        <f t="shared" si="186"/>
        <v>2.2222222222222219</v>
      </c>
      <c r="AG59" s="172">
        <f t="shared" si="186"/>
        <v>2.2222222222222219</v>
      </c>
      <c r="AH59" s="170">
        <f t="shared" si="186"/>
        <v>2.2222222222222219</v>
      </c>
      <c r="AI59" s="168">
        <f t="shared" si="86"/>
        <v>0.27777777777777773</v>
      </c>
      <c r="AJ59" s="169">
        <f t="shared" si="87"/>
        <v>0.27777777777777773</v>
      </c>
      <c r="AK59" s="169">
        <f t="shared" si="88"/>
        <v>0.27777777777777773</v>
      </c>
      <c r="AL59" s="169">
        <f t="shared" si="89"/>
        <v>0.27777777777777773</v>
      </c>
      <c r="AM59" s="169">
        <f t="shared" si="90"/>
        <v>0.27777777777777773</v>
      </c>
      <c r="AN59" s="172">
        <f t="shared" si="91"/>
        <v>0.27777777777777773</v>
      </c>
      <c r="AO59" s="172">
        <f t="shared" si="92"/>
        <v>0.27777777777777773</v>
      </c>
      <c r="AP59" s="172">
        <f t="shared" si="93"/>
        <v>0.27777777777777773</v>
      </c>
      <c r="AQ59" s="172">
        <f t="shared" si="94"/>
        <v>0.27777777777777773</v>
      </c>
      <c r="AR59" s="172">
        <f t="shared" si="95"/>
        <v>0.27777777777777773</v>
      </c>
      <c r="AS59" s="169">
        <f t="shared" si="96"/>
        <v>0.27777777777777773</v>
      </c>
      <c r="AT59" s="169">
        <f t="shared" si="97"/>
        <v>0.27777777777777773</v>
      </c>
      <c r="AU59" s="169">
        <f t="shared" si="98"/>
        <v>0.27777777777777773</v>
      </c>
      <c r="AV59" s="169">
        <f t="shared" si="99"/>
        <v>0.27777777777777773</v>
      </c>
      <c r="AW59" s="172">
        <f t="shared" si="100"/>
        <v>0.27777777777777773</v>
      </c>
      <c r="AX59" s="172">
        <f t="shared" si="101"/>
        <v>0.27777777777777773</v>
      </c>
      <c r="AY59" s="172">
        <f t="shared" si="102"/>
        <v>0.27777777777777773</v>
      </c>
      <c r="AZ59" s="172">
        <f t="shared" si="103"/>
        <v>0.27777777777777773</v>
      </c>
      <c r="BA59" s="172">
        <f t="shared" si="104"/>
        <v>0.27777777777777773</v>
      </c>
      <c r="BB59" s="172">
        <f t="shared" si="105"/>
        <v>0.27777777777777773</v>
      </c>
      <c r="BC59" s="173">
        <f t="shared" si="106"/>
        <v>0.27777777777777773</v>
      </c>
    </row>
    <row r="60" spans="1:79" x14ac:dyDescent="0.25">
      <c r="A60" s="820" t="s">
        <v>193</v>
      </c>
      <c r="B60" s="261" t="s">
        <v>9</v>
      </c>
      <c r="C60" s="258">
        <v>2</v>
      </c>
      <c r="D60" s="259">
        <v>8</v>
      </c>
      <c r="E60" s="260">
        <v>7</v>
      </c>
      <c r="F60" s="260">
        <v>1200</v>
      </c>
      <c r="G60" s="260">
        <v>20</v>
      </c>
      <c r="H60" s="260">
        <v>150</v>
      </c>
      <c r="I60" s="261">
        <v>0</v>
      </c>
      <c r="J60" s="261">
        <v>2.6</v>
      </c>
      <c r="K60" s="258"/>
      <c r="L60" s="224">
        <f t="shared" si="165"/>
        <v>7.6923076923076916</v>
      </c>
      <c r="M60" s="225">
        <f t="shared" si="183"/>
        <v>0.96153846153846145</v>
      </c>
      <c r="N60" s="156">
        <f t="shared" si="185"/>
        <v>2.6923076923076921</v>
      </c>
      <c r="O60" s="157">
        <f t="shared" si="185"/>
        <v>2.6923076923076921</v>
      </c>
      <c r="P60" s="157">
        <f t="shared" si="185"/>
        <v>2.6923076923076921</v>
      </c>
      <c r="Q60" s="157">
        <f t="shared" si="185"/>
        <v>2.6923076923076921</v>
      </c>
      <c r="R60" s="157">
        <f t="shared" si="185"/>
        <v>2.6923076923076921</v>
      </c>
      <c r="S60" s="157">
        <f t="shared" si="185"/>
        <v>2.6923076923076921</v>
      </c>
      <c r="T60" s="158">
        <f t="shared" si="185"/>
        <v>2.6923076923076921</v>
      </c>
      <c r="U60" s="158">
        <f t="shared" si="185"/>
        <v>2.6923076923076921</v>
      </c>
      <c r="V60" s="158">
        <f t="shared" si="185"/>
        <v>2.6923076923076921</v>
      </c>
      <c r="W60" s="159">
        <f t="shared" si="185"/>
        <v>2.6923076923076921</v>
      </c>
      <c r="X60" s="157">
        <f t="shared" si="186"/>
        <v>2.6923076923076921</v>
      </c>
      <c r="Y60" s="157">
        <f t="shared" si="186"/>
        <v>2.6923076923076921</v>
      </c>
      <c r="Z60" s="160">
        <f t="shared" si="186"/>
        <v>2.6923076923076921</v>
      </c>
      <c r="AA60" s="157">
        <f t="shared" si="186"/>
        <v>2.6923076923076921</v>
      </c>
      <c r="AB60" s="157">
        <f t="shared" si="186"/>
        <v>2.6923076923076921</v>
      </c>
      <c r="AC60" s="157">
        <f t="shared" si="186"/>
        <v>2.6923076923076921</v>
      </c>
      <c r="AD60" s="157">
        <f t="shared" si="186"/>
        <v>2.6923076923076921</v>
      </c>
      <c r="AE60" s="157">
        <f t="shared" si="186"/>
        <v>2.6923076923076921</v>
      </c>
      <c r="AF60" s="158">
        <f t="shared" si="186"/>
        <v>2.6923076923076921</v>
      </c>
      <c r="AG60" s="158">
        <f t="shared" si="186"/>
        <v>2.6923076923076921</v>
      </c>
      <c r="AH60" s="159">
        <f t="shared" si="186"/>
        <v>2.6923076923076921</v>
      </c>
      <c r="AI60" s="156">
        <f t="shared" si="86"/>
        <v>0.33653846153846151</v>
      </c>
      <c r="AJ60" s="157">
        <f t="shared" si="87"/>
        <v>0.33653846153846151</v>
      </c>
      <c r="AK60" s="157">
        <f t="shared" si="88"/>
        <v>0.33653846153846151</v>
      </c>
      <c r="AL60" s="157">
        <f t="shared" si="89"/>
        <v>0.33653846153846151</v>
      </c>
      <c r="AM60" s="157">
        <f t="shared" si="90"/>
        <v>0.33653846153846151</v>
      </c>
      <c r="AN60" s="157">
        <f t="shared" si="91"/>
        <v>0.33653846153846151</v>
      </c>
      <c r="AO60" s="158">
        <f t="shared" si="92"/>
        <v>0.33653846153846151</v>
      </c>
      <c r="AP60" s="158">
        <f t="shared" si="93"/>
        <v>0.33653846153846151</v>
      </c>
      <c r="AQ60" s="158">
        <f t="shared" si="94"/>
        <v>0.33653846153846151</v>
      </c>
      <c r="AR60" s="158">
        <f t="shared" si="95"/>
        <v>0.33653846153846151</v>
      </c>
      <c r="AS60" s="157">
        <f t="shared" si="96"/>
        <v>0.33653846153846151</v>
      </c>
      <c r="AT60" s="157">
        <f t="shared" si="97"/>
        <v>0.33653846153846151</v>
      </c>
      <c r="AU60" s="157">
        <f t="shared" si="98"/>
        <v>0.33653846153846151</v>
      </c>
      <c r="AV60" s="157">
        <f t="shared" si="99"/>
        <v>0.33653846153846151</v>
      </c>
      <c r="AW60" s="157">
        <f t="shared" si="100"/>
        <v>0.33653846153846151</v>
      </c>
      <c r="AX60" s="158">
        <f t="shared" si="101"/>
        <v>0.33653846153846151</v>
      </c>
      <c r="AY60" s="158">
        <f t="shared" si="102"/>
        <v>0.33653846153846151</v>
      </c>
      <c r="AZ60" s="158">
        <f t="shared" si="103"/>
        <v>0.33653846153846151</v>
      </c>
      <c r="BA60" s="158">
        <f t="shared" si="104"/>
        <v>0.33653846153846151</v>
      </c>
      <c r="BB60" s="158">
        <f t="shared" si="105"/>
        <v>0.33653846153846151</v>
      </c>
      <c r="BC60" s="161">
        <f t="shared" si="106"/>
        <v>0.33653846153846151</v>
      </c>
    </row>
    <row r="61" spans="1:79" x14ac:dyDescent="0.25">
      <c r="A61" s="821"/>
      <c r="B61" s="267" t="s">
        <v>10</v>
      </c>
      <c r="C61" s="268">
        <v>3</v>
      </c>
      <c r="D61" s="269">
        <v>8</v>
      </c>
      <c r="E61" s="270">
        <v>8</v>
      </c>
      <c r="F61" s="270">
        <v>1200</v>
      </c>
      <c r="G61" s="270">
        <v>20</v>
      </c>
      <c r="H61" s="270">
        <v>175</v>
      </c>
      <c r="I61" s="267">
        <v>0</v>
      </c>
      <c r="J61" s="267">
        <v>2.6</v>
      </c>
      <c r="K61" s="268"/>
      <c r="L61" s="228">
        <f t="shared" si="165"/>
        <v>7.6923076923076916</v>
      </c>
      <c r="M61" s="229">
        <f t="shared" si="183"/>
        <v>0.96153846153846145</v>
      </c>
      <c r="N61" s="162">
        <f t="shared" si="185"/>
        <v>3.0769230769230766</v>
      </c>
      <c r="O61" s="163">
        <f t="shared" si="185"/>
        <v>3.0769230769230766</v>
      </c>
      <c r="P61" s="163">
        <f t="shared" si="185"/>
        <v>3.0769230769230766</v>
      </c>
      <c r="Q61" s="163">
        <f t="shared" si="185"/>
        <v>3.0769230769230766</v>
      </c>
      <c r="R61" s="163">
        <f t="shared" si="185"/>
        <v>3.0769230769230766</v>
      </c>
      <c r="S61" s="163">
        <f t="shared" si="185"/>
        <v>3.0769230769230766</v>
      </c>
      <c r="T61" s="163">
        <f t="shared" si="185"/>
        <v>3.0769230769230766</v>
      </c>
      <c r="U61" s="164">
        <f t="shared" si="185"/>
        <v>3.0769230769230766</v>
      </c>
      <c r="V61" s="164">
        <f t="shared" si="185"/>
        <v>3.0769230769230766</v>
      </c>
      <c r="W61" s="165">
        <f t="shared" si="185"/>
        <v>3.0769230769230766</v>
      </c>
      <c r="X61" s="163">
        <f t="shared" si="186"/>
        <v>3.0769230769230766</v>
      </c>
      <c r="Y61" s="163">
        <f t="shared" si="186"/>
        <v>3.0769230769230766</v>
      </c>
      <c r="Z61" s="166">
        <f t="shared" si="186"/>
        <v>3.0769230769230766</v>
      </c>
      <c r="AA61" s="163">
        <f t="shared" si="186"/>
        <v>3.0769230769230766</v>
      </c>
      <c r="AB61" s="163">
        <f t="shared" si="186"/>
        <v>3.0769230769230766</v>
      </c>
      <c r="AC61" s="163">
        <f t="shared" si="186"/>
        <v>3.0769230769230766</v>
      </c>
      <c r="AD61" s="163">
        <f t="shared" si="186"/>
        <v>3.0769230769230766</v>
      </c>
      <c r="AE61" s="163">
        <f t="shared" si="186"/>
        <v>3.0769230769230766</v>
      </c>
      <c r="AF61" s="163">
        <f t="shared" si="186"/>
        <v>3.0769230769230766</v>
      </c>
      <c r="AG61" s="164">
        <f t="shared" si="186"/>
        <v>3.0769230769230766</v>
      </c>
      <c r="AH61" s="165">
        <f t="shared" si="186"/>
        <v>3.0769230769230766</v>
      </c>
      <c r="AI61" s="162">
        <f t="shared" si="86"/>
        <v>0.38461538461538458</v>
      </c>
      <c r="AJ61" s="163">
        <f t="shared" si="87"/>
        <v>0.38461538461538458</v>
      </c>
      <c r="AK61" s="163">
        <f t="shared" si="88"/>
        <v>0.38461538461538458</v>
      </c>
      <c r="AL61" s="163">
        <f t="shared" si="89"/>
        <v>0.38461538461538458</v>
      </c>
      <c r="AM61" s="163">
        <f t="shared" si="90"/>
        <v>0.38461538461538458</v>
      </c>
      <c r="AN61" s="163">
        <f t="shared" si="91"/>
        <v>0.38461538461538458</v>
      </c>
      <c r="AO61" s="163">
        <f t="shared" si="92"/>
        <v>0.38461538461538458</v>
      </c>
      <c r="AP61" s="164">
        <f t="shared" si="93"/>
        <v>0.38461538461538458</v>
      </c>
      <c r="AQ61" s="164">
        <f t="shared" si="94"/>
        <v>0.38461538461538458</v>
      </c>
      <c r="AR61" s="164">
        <f t="shared" si="95"/>
        <v>0.38461538461538458</v>
      </c>
      <c r="AS61" s="163">
        <f t="shared" si="96"/>
        <v>0.38461538461538458</v>
      </c>
      <c r="AT61" s="163">
        <f t="shared" si="97"/>
        <v>0.38461538461538458</v>
      </c>
      <c r="AU61" s="163">
        <f t="shared" si="98"/>
        <v>0.38461538461538458</v>
      </c>
      <c r="AV61" s="163">
        <f t="shared" si="99"/>
        <v>0.38461538461538458</v>
      </c>
      <c r="AW61" s="163">
        <f t="shared" si="100"/>
        <v>0.38461538461538458</v>
      </c>
      <c r="AX61" s="163">
        <f t="shared" si="101"/>
        <v>0.38461538461538458</v>
      </c>
      <c r="AY61" s="164">
        <f t="shared" si="102"/>
        <v>0.38461538461538458</v>
      </c>
      <c r="AZ61" s="164">
        <f t="shared" si="103"/>
        <v>0.38461538461538458</v>
      </c>
      <c r="BA61" s="164">
        <f t="shared" si="104"/>
        <v>0.38461538461538458</v>
      </c>
      <c r="BB61" s="164">
        <f t="shared" si="105"/>
        <v>0.38461538461538458</v>
      </c>
      <c r="BC61" s="167">
        <f t="shared" si="106"/>
        <v>0.38461538461538458</v>
      </c>
    </row>
    <row r="62" spans="1:79" ht="15.75" thickBot="1" x14ac:dyDescent="0.3">
      <c r="A62" s="822"/>
      <c r="B62" s="266" t="s">
        <v>11</v>
      </c>
      <c r="C62" s="263">
        <v>4</v>
      </c>
      <c r="D62" s="264">
        <v>8</v>
      </c>
      <c r="E62" s="265">
        <v>9</v>
      </c>
      <c r="F62" s="265">
        <v>1200</v>
      </c>
      <c r="G62" s="265">
        <v>20</v>
      </c>
      <c r="H62" s="265">
        <v>200</v>
      </c>
      <c r="I62" s="266">
        <v>0</v>
      </c>
      <c r="J62" s="266">
        <v>2.6</v>
      </c>
      <c r="K62" s="263"/>
      <c r="L62" s="226">
        <f t="shared" si="165"/>
        <v>7.6923076923076916</v>
      </c>
      <c r="M62" s="227">
        <f t="shared" si="183"/>
        <v>0.96153846153846145</v>
      </c>
      <c r="N62" s="168">
        <f t="shared" si="185"/>
        <v>3.4615384615384612</v>
      </c>
      <c r="O62" s="169">
        <f t="shared" si="185"/>
        <v>3.4615384615384612</v>
      </c>
      <c r="P62" s="169">
        <f t="shared" si="185"/>
        <v>3.4615384615384612</v>
      </c>
      <c r="Q62" s="169">
        <f t="shared" si="185"/>
        <v>3.4615384615384612</v>
      </c>
      <c r="R62" s="169">
        <f t="shared" si="185"/>
        <v>3.4615384615384612</v>
      </c>
      <c r="S62" s="169">
        <f t="shared" si="185"/>
        <v>3.4615384615384612</v>
      </c>
      <c r="T62" s="169">
        <f t="shared" si="185"/>
        <v>3.4615384615384612</v>
      </c>
      <c r="U62" s="169">
        <f t="shared" si="185"/>
        <v>3.4615384615384612</v>
      </c>
      <c r="V62" s="169">
        <f t="shared" si="185"/>
        <v>3.4615384615384612</v>
      </c>
      <c r="W62" s="170">
        <f t="shared" si="185"/>
        <v>3.4615384615384612</v>
      </c>
      <c r="X62" s="169">
        <f t="shared" si="186"/>
        <v>3.4615384615384612</v>
      </c>
      <c r="Y62" s="169">
        <f t="shared" si="186"/>
        <v>3.4615384615384612</v>
      </c>
      <c r="Z62" s="171">
        <f t="shared" si="186"/>
        <v>3.4615384615384612</v>
      </c>
      <c r="AA62" s="169">
        <f t="shared" si="186"/>
        <v>3.4615384615384612</v>
      </c>
      <c r="AB62" s="169">
        <f t="shared" si="186"/>
        <v>3.4615384615384612</v>
      </c>
      <c r="AC62" s="169">
        <f t="shared" si="186"/>
        <v>3.4615384615384612</v>
      </c>
      <c r="AD62" s="169">
        <f t="shared" si="186"/>
        <v>3.4615384615384612</v>
      </c>
      <c r="AE62" s="169">
        <f t="shared" si="186"/>
        <v>3.4615384615384612</v>
      </c>
      <c r="AF62" s="169">
        <f t="shared" si="186"/>
        <v>3.4615384615384612</v>
      </c>
      <c r="AG62" s="169">
        <f t="shared" si="186"/>
        <v>3.4615384615384612</v>
      </c>
      <c r="AH62" s="174">
        <f t="shared" si="186"/>
        <v>3.4615384615384612</v>
      </c>
      <c r="AI62" s="168">
        <f t="shared" si="86"/>
        <v>0.43269230769230765</v>
      </c>
      <c r="AJ62" s="169">
        <f t="shared" si="87"/>
        <v>0.43269230769230765</v>
      </c>
      <c r="AK62" s="169">
        <f t="shared" si="88"/>
        <v>0.43269230769230765</v>
      </c>
      <c r="AL62" s="169">
        <f t="shared" si="89"/>
        <v>0.43269230769230765</v>
      </c>
      <c r="AM62" s="169">
        <f t="shared" si="90"/>
        <v>0.43269230769230765</v>
      </c>
      <c r="AN62" s="169">
        <f t="shared" si="91"/>
        <v>0.43269230769230765</v>
      </c>
      <c r="AO62" s="169">
        <f t="shared" si="92"/>
        <v>0.43269230769230765</v>
      </c>
      <c r="AP62" s="169">
        <f t="shared" si="93"/>
        <v>0.43269230769230765</v>
      </c>
      <c r="AQ62" s="169">
        <f t="shared" si="94"/>
        <v>0.43269230769230765</v>
      </c>
      <c r="AR62" s="172">
        <f t="shared" si="95"/>
        <v>0.43269230769230765</v>
      </c>
      <c r="AS62" s="169">
        <f t="shared" si="96"/>
        <v>0.43269230769230765</v>
      </c>
      <c r="AT62" s="169">
        <f t="shared" si="97"/>
        <v>0.43269230769230765</v>
      </c>
      <c r="AU62" s="169">
        <f t="shared" si="98"/>
        <v>0.43269230769230765</v>
      </c>
      <c r="AV62" s="169">
        <f t="shared" si="99"/>
        <v>0.43269230769230765</v>
      </c>
      <c r="AW62" s="169">
        <f t="shared" si="100"/>
        <v>0.43269230769230765</v>
      </c>
      <c r="AX62" s="169">
        <f t="shared" si="101"/>
        <v>0.43269230769230765</v>
      </c>
      <c r="AY62" s="169">
        <f t="shared" si="102"/>
        <v>0.43269230769230765</v>
      </c>
      <c r="AZ62" s="169">
        <f t="shared" si="103"/>
        <v>0.43269230769230765</v>
      </c>
      <c r="BA62" s="172">
        <f t="shared" si="104"/>
        <v>0.43269230769230765</v>
      </c>
      <c r="BB62" s="172">
        <f t="shared" si="105"/>
        <v>0.43269230769230765</v>
      </c>
      <c r="BC62" s="173">
        <f t="shared" si="106"/>
        <v>0.43269230769230765</v>
      </c>
    </row>
    <row r="63" spans="1:79" hidden="1" x14ac:dyDescent="0.25">
      <c r="A63" s="820" t="s">
        <v>204</v>
      </c>
      <c r="B63" s="261" t="s">
        <v>9</v>
      </c>
      <c r="C63" s="258">
        <v>2</v>
      </c>
      <c r="D63" s="259">
        <v>12</v>
      </c>
      <c r="E63" s="260">
        <v>10</v>
      </c>
      <c r="F63" s="296">
        <v>1200</v>
      </c>
      <c r="G63" s="296">
        <v>19</v>
      </c>
      <c r="H63" s="296">
        <v>100</v>
      </c>
      <c r="I63" s="297">
        <v>0</v>
      </c>
      <c r="J63" s="297">
        <v>2</v>
      </c>
      <c r="K63" s="258"/>
      <c r="L63" s="224">
        <f t="shared" si="165"/>
        <v>9.5</v>
      </c>
      <c r="M63" s="225">
        <f t="shared" si="183"/>
        <v>0.79166666666666663</v>
      </c>
      <c r="N63" s="156">
        <f t="shared" ref="N63:W72" si="210">IF(AND(N$2&lt;=$F63,($E63-$I63*N$2/100)/$J63&gt;0),($E63-$I63*N$2/100)/$J63,"-")</f>
        <v>5</v>
      </c>
      <c r="O63" s="157">
        <f t="shared" si="210"/>
        <v>5</v>
      </c>
      <c r="P63" s="157">
        <f t="shared" si="210"/>
        <v>5</v>
      </c>
      <c r="Q63" s="157">
        <f t="shared" si="210"/>
        <v>5</v>
      </c>
      <c r="R63" s="157">
        <f t="shared" si="210"/>
        <v>5</v>
      </c>
      <c r="S63" s="157">
        <f t="shared" si="210"/>
        <v>5</v>
      </c>
      <c r="T63" s="158">
        <f t="shared" si="210"/>
        <v>5</v>
      </c>
      <c r="U63" s="158">
        <f t="shared" si="210"/>
        <v>5</v>
      </c>
      <c r="V63" s="158">
        <f t="shared" si="210"/>
        <v>5</v>
      </c>
      <c r="W63" s="159">
        <f t="shared" si="210"/>
        <v>5</v>
      </c>
      <c r="X63" s="157">
        <f t="shared" ref="X63:AH72" si="211">IF(AND(X$2&lt;=$F63,($E63-$I63*X$2/100)/$J63&gt;0),($E63-$I63*X$2/100)/$J63,"-")</f>
        <v>5</v>
      </c>
      <c r="Y63" s="157">
        <f t="shared" si="211"/>
        <v>5</v>
      </c>
      <c r="Z63" s="160">
        <f t="shared" si="211"/>
        <v>5</v>
      </c>
      <c r="AA63" s="157">
        <f t="shared" si="211"/>
        <v>5</v>
      </c>
      <c r="AB63" s="157">
        <f t="shared" si="211"/>
        <v>5</v>
      </c>
      <c r="AC63" s="157">
        <f t="shared" si="211"/>
        <v>5</v>
      </c>
      <c r="AD63" s="157">
        <f t="shared" si="211"/>
        <v>5</v>
      </c>
      <c r="AE63" s="157">
        <f t="shared" si="211"/>
        <v>5</v>
      </c>
      <c r="AF63" s="158">
        <f t="shared" si="211"/>
        <v>5</v>
      </c>
      <c r="AG63" s="158">
        <f t="shared" si="211"/>
        <v>5</v>
      </c>
      <c r="AH63" s="159">
        <f t="shared" si="211"/>
        <v>5</v>
      </c>
      <c r="AI63" s="156">
        <f t="shared" ref="AI63:AI68" si="212">IF(N$2&lt;=$F63,N63/$D63,"-")</f>
        <v>0.41666666666666669</v>
      </c>
      <c r="AJ63" s="157">
        <f t="shared" ref="AJ63:AJ68" si="213">IF(O$2&lt;=$F63,O63/$D63,"-")</f>
        <v>0.41666666666666669</v>
      </c>
      <c r="AK63" s="157">
        <f t="shared" ref="AK63:AK68" si="214">IF(P$2&lt;=$F63,P63/$D63,"-")</f>
        <v>0.41666666666666669</v>
      </c>
      <c r="AL63" s="157">
        <f t="shared" ref="AL63:AL68" si="215">IF(Q$2&lt;=$F63,Q63/$D63,"-")</f>
        <v>0.41666666666666669</v>
      </c>
      <c r="AM63" s="157">
        <f t="shared" ref="AM63:AM68" si="216">IF(R$2&lt;=$F63,R63/$D63,"-")</f>
        <v>0.41666666666666669</v>
      </c>
      <c r="AN63" s="157">
        <f t="shared" ref="AN63:AN68" si="217">IF(S$2&lt;=$F63,S63/$D63,"-")</f>
        <v>0.41666666666666669</v>
      </c>
      <c r="AO63" s="158">
        <f t="shared" ref="AO63:AO68" si="218">IF(T$2&lt;=$F63,T63/$D63,"-")</f>
        <v>0.41666666666666669</v>
      </c>
      <c r="AP63" s="158">
        <f t="shared" ref="AP63:AP68" si="219">IF(U$2&lt;=$F63,U63/$D63,"-")</f>
        <v>0.41666666666666669</v>
      </c>
      <c r="AQ63" s="158">
        <f t="shared" ref="AQ63:AQ68" si="220">IF(V$2&lt;=$F63,V63/$D63,"-")</f>
        <v>0.41666666666666669</v>
      </c>
      <c r="AR63" s="158">
        <f t="shared" ref="AR63:AR68" si="221">IF(W$2&lt;=$F63,W63/$D63,"-")</f>
        <v>0.41666666666666669</v>
      </c>
      <c r="AS63" s="157">
        <f t="shared" ref="AS63:AS68" si="222">IF(X$2&lt;=$F63,X63/$D63,"-")</f>
        <v>0.41666666666666669</v>
      </c>
      <c r="AT63" s="157">
        <f t="shared" ref="AT63:AT68" si="223">IF(Y$2&lt;=$F63,Y63/$D63,"-")</f>
        <v>0.41666666666666669</v>
      </c>
      <c r="AU63" s="157">
        <f t="shared" ref="AU63:AU68" si="224">IF(Z$2&lt;=$F63,Z63/$D63,"-")</f>
        <v>0.41666666666666669</v>
      </c>
      <c r="AV63" s="157">
        <f t="shared" ref="AV63:AV68" si="225">IF(AA$2&lt;=$F63,AA63/$D63,"-")</f>
        <v>0.41666666666666669</v>
      </c>
      <c r="AW63" s="157">
        <f t="shared" ref="AW63:AW68" si="226">IF(AB$2&lt;=$F63,AB63/$D63,"-")</f>
        <v>0.41666666666666669</v>
      </c>
      <c r="AX63" s="158">
        <f t="shared" ref="AX63:AX68" si="227">IF(AC$2&lt;=$F63,AC63/$D63,"-")</f>
        <v>0.41666666666666669</v>
      </c>
      <c r="AY63" s="158">
        <f t="shared" ref="AY63:AY68" si="228">IF(AD$2&lt;=$F63,AD63/$D63,"-")</f>
        <v>0.41666666666666669</v>
      </c>
      <c r="AZ63" s="158">
        <f t="shared" ref="AZ63:AZ68" si="229">IF(AE$2&lt;=$F63,AE63/$D63,"-")</f>
        <v>0.41666666666666669</v>
      </c>
      <c r="BA63" s="158">
        <f t="shared" ref="BA63:BA68" si="230">IF(AF$2&lt;=$F63,AF63/$D63,"-")</f>
        <v>0.41666666666666669</v>
      </c>
      <c r="BB63" s="158">
        <f t="shared" ref="BB63:BB68" si="231">IF(AG$2&lt;=$F63,AG63/$D63,"-")</f>
        <v>0.41666666666666669</v>
      </c>
      <c r="BC63" s="161">
        <f t="shared" ref="BC63:BC68" si="232">IF(AH$2&lt;=$F63,AH63/$D63,"-")</f>
        <v>0.41666666666666669</v>
      </c>
    </row>
    <row r="64" spans="1:79" hidden="1" x14ac:dyDescent="0.25">
      <c r="A64" s="821"/>
      <c r="B64" s="267" t="s">
        <v>10</v>
      </c>
      <c r="C64" s="268">
        <v>4</v>
      </c>
      <c r="D64" s="269">
        <v>12</v>
      </c>
      <c r="E64" s="270">
        <v>14</v>
      </c>
      <c r="F64" s="298">
        <v>1200</v>
      </c>
      <c r="G64" s="298">
        <v>19</v>
      </c>
      <c r="H64" s="298">
        <v>120</v>
      </c>
      <c r="I64" s="299">
        <v>0</v>
      </c>
      <c r="J64" s="299">
        <v>2</v>
      </c>
      <c r="K64" s="268"/>
      <c r="L64" s="228">
        <f t="shared" si="165"/>
        <v>9.5</v>
      </c>
      <c r="M64" s="229">
        <f t="shared" si="183"/>
        <v>0.79166666666666663</v>
      </c>
      <c r="N64" s="162">
        <f t="shared" si="210"/>
        <v>7</v>
      </c>
      <c r="O64" s="163">
        <f t="shared" si="210"/>
        <v>7</v>
      </c>
      <c r="P64" s="163">
        <f t="shared" si="210"/>
        <v>7</v>
      </c>
      <c r="Q64" s="163">
        <f t="shared" si="210"/>
        <v>7</v>
      </c>
      <c r="R64" s="163">
        <f t="shared" si="210"/>
        <v>7</v>
      </c>
      <c r="S64" s="163">
        <f t="shared" si="210"/>
        <v>7</v>
      </c>
      <c r="T64" s="163">
        <f t="shared" si="210"/>
        <v>7</v>
      </c>
      <c r="U64" s="164">
        <f t="shared" si="210"/>
        <v>7</v>
      </c>
      <c r="V64" s="164">
        <f t="shared" si="210"/>
        <v>7</v>
      </c>
      <c r="W64" s="165">
        <f t="shared" si="210"/>
        <v>7</v>
      </c>
      <c r="X64" s="163">
        <f t="shared" si="211"/>
        <v>7</v>
      </c>
      <c r="Y64" s="163">
        <f t="shared" si="211"/>
        <v>7</v>
      </c>
      <c r="Z64" s="166">
        <f t="shared" si="211"/>
        <v>7</v>
      </c>
      <c r="AA64" s="163">
        <f t="shared" si="211"/>
        <v>7</v>
      </c>
      <c r="AB64" s="163">
        <f t="shared" si="211"/>
        <v>7</v>
      </c>
      <c r="AC64" s="163">
        <f t="shared" si="211"/>
        <v>7</v>
      </c>
      <c r="AD64" s="163">
        <f t="shared" si="211"/>
        <v>7</v>
      </c>
      <c r="AE64" s="163">
        <f t="shared" si="211"/>
        <v>7</v>
      </c>
      <c r="AF64" s="163">
        <f t="shared" si="211"/>
        <v>7</v>
      </c>
      <c r="AG64" s="164">
        <f t="shared" si="211"/>
        <v>7</v>
      </c>
      <c r="AH64" s="165">
        <f t="shared" si="211"/>
        <v>7</v>
      </c>
      <c r="AI64" s="162">
        <f t="shared" si="212"/>
        <v>0.58333333333333337</v>
      </c>
      <c r="AJ64" s="163">
        <f t="shared" si="213"/>
        <v>0.58333333333333337</v>
      </c>
      <c r="AK64" s="163">
        <f t="shared" si="214"/>
        <v>0.58333333333333337</v>
      </c>
      <c r="AL64" s="163">
        <f t="shared" si="215"/>
        <v>0.58333333333333337</v>
      </c>
      <c r="AM64" s="163">
        <f t="shared" si="216"/>
        <v>0.58333333333333337</v>
      </c>
      <c r="AN64" s="163">
        <f t="shared" si="217"/>
        <v>0.58333333333333337</v>
      </c>
      <c r="AO64" s="163">
        <f t="shared" si="218"/>
        <v>0.58333333333333337</v>
      </c>
      <c r="AP64" s="164">
        <f t="shared" si="219"/>
        <v>0.58333333333333337</v>
      </c>
      <c r="AQ64" s="164">
        <f t="shared" si="220"/>
        <v>0.58333333333333337</v>
      </c>
      <c r="AR64" s="164">
        <f t="shared" si="221"/>
        <v>0.58333333333333337</v>
      </c>
      <c r="AS64" s="163">
        <f t="shared" si="222"/>
        <v>0.58333333333333337</v>
      </c>
      <c r="AT64" s="163">
        <f t="shared" si="223"/>
        <v>0.58333333333333337</v>
      </c>
      <c r="AU64" s="163">
        <f t="shared" si="224"/>
        <v>0.58333333333333337</v>
      </c>
      <c r="AV64" s="163">
        <f t="shared" si="225"/>
        <v>0.58333333333333337</v>
      </c>
      <c r="AW64" s="163">
        <f t="shared" si="226"/>
        <v>0.58333333333333337</v>
      </c>
      <c r="AX64" s="163">
        <f t="shared" si="227"/>
        <v>0.58333333333333337</v>
      </c>
      <c r="AY64" s="164">
        <f t="shared" si="228"/>
        <v>0.58333333333333337</v>
      </c>
      <c r="AZ64" s="164">
        <f t="shared" si="229"/>
        <v>0.58333333333333337</v>
      </c>
      <c r="BA64" s="164">
        <f t="shared" si="230"/>
        <v>0.58333333333333337</v>
      </c>
      <c r="BB64" s="164">
        <f t="shared" si="231"/>
        <v>0.58333333333333337</v>
      </c>
      <c r="BC64" s="167">
        <f t="shared" si="232"/>
        <v>0.58333333333333337</v>
      </c>
    </row>
    <row r="65" spans="1:55" ht="15.75" hidden="1" thickBot="1" x14ac:dyDescent="0.3">
      <c r="A65" s="822"/>
      <c r="B65" s="266" t="s">
        <v>11</v>
      </c>
      <c r="C65" s="263">
        <v>6</v>
      </c>
      <c r="D65" s="264">
        <v>12</v>
      </c>
      <c r="E65" s="265">
        <v>17</v>
      </c>
      <c r="F65" s="300">
        <v>1200</v>
      </c>
      <c r="G65" s="300">
        <v>19</v>
      </c>
      <c r="H65" s="300">
        <v>140</v>
      </c>
      <c r="I65" s="301">
        <v>0</v>
      </c>
      <c r="J65" s="301">
        <v>2</v>
      </c>
      <c r="K65" s="263"/>
      <c r="L65" s="226">
        <f t="shared" si="165"/>
        <v>9.5</v>
      </c>
      <c r="M65" s="227">
        <f t="shared" si="183"/>
        <v>0.79166666666666663</v>
      </c>
      <c r="N65" s="168">
        <f t="shared" si="210"/>
        <v>8.5</v>
      </c>
      <c r="O65" s="169">
        <f t="shared" si="210"/>
        <v>8.5</v>
      </c>
      <c r="P65" s="169">
        <f t="shared" si="210"/>
        <v>8.5</v>
      </c>
      <c r="Q65" s="169">
        <f t="shared" si="210"/>
        <v>8.5</v>
      </c>
      <c r="R65" s="169">
        <f t="shared" si="210"/>
        <v>8.5</v>
      </c>
      <c r="S65" s="169">
        <f t="shared" si="210"/>
        <v>8.5</v>
      </c>
      <c r="T65" s="169">
        <f t="shared" si="210"/>
        <v>8.5</v>
      </c>
      <c r="U65" s="169">
        <f t="shared" si="210"/>
        <v>8.5</v>
      </c>
      <c r="V65" s="169">
        <f t="shared" si="210"/>
        <v>8.5</v>
      </c>
      <c r="W65" s="170">
        <f t="shared" si="210"/>
        <v>8.5</v>
      </c>
      <c r="X65" s="169">
        <f t="shared" si="211"/>
        <v>8.5</v>
      </c>
      <c r="Y65" s="169">
        <f t="shared" si="211"/>
        <v>8.5</v>
      </c>
      <c r="Z65" s="171">
        <f t="shared" si="211"/>
        <v>8.5</v>
      </c>
      <c r="AA65" s="169">
        <f t="shared" si="211"/>
        <v>8.5</v>
      </c>
      <c r="AB65" s="169">
        <f t="shared" si="211"/>
        <v>8.5</v>
      </c>
      <c r="AC65" s="169">
        <f t="shared" si="211"/>
        <v>8.5</v>
      </c>
      <c r="AD65" s="169">
        <f t="shared" si="211"/>
        <v>8.5</v>
      </c>
      <c r="AE65" s="169">
        <f t="shared" si="211"/>
        <v>8.5</v>
      </c>
      <c r="AF65" s="169">
        <f t="shared" si="211"/>
        <v>8.5</v>
      </c>
      <c r="AG65" s="169">
        <f t="shared" si="211"/>
        <v>8.5</v>
      </c>
      <c r="AH65" s="174">
        <f t="shared" si="211"/>
        <v>8.5</v>
      </c>
      <c r="AI65" s="168">
        <f t="shared" si="212"/>
        <v>0.70833333333333337</v>
      </c>
      <c r="AJ65" s="169">
        <f t="shared" si="213"/>
        <v>0.70833333333333337</v>
      </c>
      <c r="AK65" s="169">
        <f t="shared" si="214"/>
        <v>0.70833333333333337</v>
      </c>
      <c r="AL65" s="169">
        <f t="shared" si="215"/>
        <v>0.70833333333333337</v>
      </c>
      <c r="AM65" s="169">
        <f t="shared" si="216"/>
        <v>0.70833333333333337</v>
      </c>
      <c r="AN65" s="169">
        <f t="shared" si="217"/>
        <v>0.70833333333333337</v>
      </c>
      <c r="AO65" s="169">
        <f t="shared" si="218"/>
        <v>0.70833333333333337</v>
      </c>
      <c r="AP65" s="169">
        <f t="shared" si="219"/>
        <v>0.70833333333333337</v>
      </c>
      <c r="AQ65" s="169">
        <f t="shared" si="220"/>
        <v>0.70833333333333337</v>
      </c>
      <c r="AR65" s="172">
        <f t="shared" si="221"/>
        <v>0.70833333333333337</v>
      </c>
      <c r="AS65" s="169">
        <f t="shared" si="222"/>
        <v>0.70833333333333337</v>
      </c>
      <c r="AT65" s="169">
        <f t="shared" si="223"/>
        <v>0.70833333333333337</v>
      </c>
      <c r="AU65" s="169">
        <f t="shared" si="224"/>
        <v>0.70833333333333337</v>
      </c>
      <c r="AV65" s="169">
        <f t="shared" si="225"/>
        <v>0.70833333333333337</v>
      </c>
      <c r="AW65" s="169">
        <f t="shared" si="226"/>
        <v>0.70833333333333337</v>
      </c>
      <c r="AX65" s="169">
        <f t="shared" si="227"/>
        <v>0.70833333333333337</v>
      </c>
      <c r="AY65" s="169">
        <f t="shared" si="228"/>
        <v>0.70833333333333337</v>
      </c>
      <c r="AZ65" s="169">
        <f t="shared" si="229"/>
        <v>0.70833333333333337</v>
      </c>
      <c r="BA65" s="172">
        <f t="shared" si="230"/>
        <v>0.70833333333333337</v>
      </c>
      <c r="BB65" s="172">
        <f t="shared" si="231"/>
        <v>0.70833333333333337</v>
      </c>
      <c r="BC65" s="173">
        <f t="shared" si="232"/>
        <v>0.70833333333333337</v>
      </c>
    </row>
    <row r="66" spans="1:55" x14ac:dyDescent="0.25">
      <c r="A66" s="820" t="s">
        <v>32</v>
      </c>
      <c r="B66" s="261" t="s">
        <v>9</v>
      </c>
      <c r="C66" s="258">
        <v>5</v>
      </c>
      <c r="D66" s="259">
        <v>8</v>
      </c>
      <c r="E66" s="260">
        <v>20</v>
      </c>
      <c r="F66" s="260">
        <v>1200</v>
      </c>
      <c r="G66" s="260">
        <v>38</v>
      </c>
      <c r="H66" s="260">
        <v>250</v>
      </c>
      <c r="I66" s="261">
        <v>0</v>
      </c>
      <c r="J66" s="261">
        <v>4.2</v>
      </c>
      <c r="K66" s="258"/>
      <c r="L66" s="224">
        <f t="shared" si="165"/>
        <v>9.0476190476190474</v>
      </c>
      <c r="M66" s="225">
        <f t="shared" si="183"/>
        <v>1.1309523809523809</v>
      </c>
      <c r="N66" s="156">
        <f t="shared" si="210"/>
        <v>4.7619047619047619</v>
      </c>
      <c r="O66" s="157">
        <f t="shared" si="210"/>
        <v>4.7619047619047619</v>
      </c>
      <c r="P66" s="157">
        <f t="shared" si="210"/>
        <v>4.7619047619047619</v>
      </c>
      <c r="Q66" s="157">
        <f t="shared" si="210"/>
        <v>4.7619047619047619</v>
      </c>
      <c r="R66" s="157">
        <f t="shared" si="210"/>
        <v>4.7619047619047619</v>
      </c>
      <c r="S66" s="157">
        <f t="shared" si="210"/>
        <v>4.7619047619047619</v>
      </c>
      <c r="T66" s="157">
        <f t="shared" si="210"/>
        <v>4.7619047619047619</v>
      </c>
      <c r="U66" s="157">
        <f t="shared" si="210"/>
        <v>4.7619047619047619</v>
      </c>
      <c r="V66" s="158">
        <f t="shared" si="210"/>
        <v>4.7619047619047619</v>
      </c>
      <c r="W66" s="159">
        <f t="shared" si="210"/>
        <v>4.7619047619047619</v>
      </c>
      <c r="X66" s="157">
        <f t="shared" si="211"/>
        <v>4.7619047619047619</v>
      </c>
      <c r="Y66" s="157">
        <f t="shared" si="211"/>
        <v>4.7619047619047619</v>
      </c>
      <c r="Z66" s="160">
        <f t="shared" si="211"/>
        <v>4.7619047619047619</v>
      </c>
      <c r="AA66" s="157">
        <f t="shared" si="211"/>
        <v>4.7619047619047619</v>
      </c>
      <c r="AB66" s="157">
        <f t="shared" si="211"/>
        <v>4.7619047619047619</v>
      </c>
      <c r="AC66" s="157">
        <f t="shared" si="211"/>
        <v>4.7619047619047619</v>
      </c>
      <c r="AD66" s="157">
        <f t="shared" si="211"/>
        <v>4.7619047619047619</v>
      </c>
      <c r="AE66" s="157">
        <f t="shared" si="211"/>
        <v>4.7619047619047619</v>
      </c>
      <c r="AF66" s="157">
        <f t="shared" si="211"/>
        <v>4.7619047619047619</v>
      </c>
      <c r="AG66" s="157">
        <f t="shared" si="211"/>
        <v>4.7619047619047619</v>
      </c>
      <c r="AH66" s="159">
        <f t="shared" si="211"/>
        <v>4.7619047619047619</v>
      </c>
      <c r="AI66" s="156">
        <f t="shared" si="212"/>
        <v>0.59523809523809523</v>
      </c>
      <c r="AJ66" s="157">
        <f t="shared" si="213"/>
        <v>0.59523809523809523</v>
      </c>
      <c r="AK66" s="157">
        <f t="shared" si="214"/>
        <v>0.59523809523809523</v>
      </c>
      <c r="AL66" s="157">
        <f t="shared" si="215"/>
        <v>0.59523809523809523</v>
      </c>
      <c r="AM66" s="157">
        <f t="shared" si="216"/>
        <v>0.59523809523809523</v>
      </c>
      <c r="AN66" s="157">
        <f t="shared" si="217"/>
        <v>0.59523809523809523</v>
      </c>
      <c r="AO66" s="157">
        <f t="shared" si="218"/>
        <v>0.59523809523809523</v>
      </c>
      <c r="AP66" s="157">
        <f t="shared" si="219"/>
        <v>0.59523809523809523</v>
      </c>
      <c r="AQ66" s="158">
        <f t="shared" si="220"/>
        <v>0.59523809523809523</v>
      </c>
      <c r="AR66" s="158">
        <f t="shared" si="221"/>
        <v>0.59523809523809523</v>
      </c>
      <c r="AS66" s="157">
        <f t="shared" si="222"/>
        <v>0.59523809523809523</v>
      </c>
      <c r="AT66" s="157">
        <f t="shared" si="223"/>
        <v>0.59523809523809523</v>
      </c>
      <c r="AU66" s="157">
        <f t="shared" si="224"/>
        <v>0.59523809523809523</v>
      </c>
      <c r="AV66" s="157">
        <f t="shared" si="225"/>
        <v>0.59523809523809523</v>
      </c>
      <c r="AW66" s="157">
        <f t="shared" si="226"/>
        <v>0.59523809523809523</v>
      </c>
      <c r="AX66" s="157">
        <f t="shared" si="227"/>
        <v>0.59523809523809523</v>
      </c>
      <c r="AY66" s="157">
        <f t="shared" si="228"/>
        <v>0.59523809523809523</v>
      </c>
      <c r="AZ66" s="158">
        <f t="shared" si="229"/>
        <v>0.59523809523809523</v>
      </c>
      <c r="BA66" s="158">
        <f t="shared" si="230"/>
        <v>0.59523809523809523</v>
      </c>
      <c r="BB66" s="158">
        <f t="shared" si="231"/>
        <v>0.59523809523809523</v>
      </c>
      <c r="BC66" s="161">
        <f t="shared" si="232"/>
        <v>0.59523809523809523</v>
      </c>
    </row>
    <row r="67" spans="1:55" x14ac:dyDescent="0.25">
      <c r="A67" s="821"/>
      <c r="B67" s="267" t="s">
        <v>10</v>
      </c>
      <c r="C67" s="268">
        <v>6</v>
      </c>
      <c r="D67" s="269">
        <v>8</v>
      </c>
      <c r="E67" s="270">
        <v>24</v>
      </c>
      <c r="F67" s="270">
        <v>1200</v>
      </c>
      <c r="G67" s="270">
        <v>38</v>
      </c>
      <c r="H67" s="270">
        <v>275</v>
      </c>
      <c r="I67" s="267">
        <v>0</v>
      </c>
      <c r="J67" s="267">
        <v>4.2</v>
      </c>
      <c r="K67" s="268"/>
      <c r="L67" s="228">
        <f t="shared" ref="L67:L99" si="233">G67/J67</f>
        <v>9.0476190476190474</v>
      </c>
      <c r="M67" s="229">
        <f t="shared" si="183"/>
        <v>1.1309523809523809</v>
      </c>
      <c r="N67" s="162">
        <f t="shared" si="210"/>
        <v>5.7142857142857144</v>
      </c>
      <c r="O67" s="163">
        <f t="shared" si="210"/>
        <v>5.7142857142857144</v>
      </c>
      <c r="P67" s="163">
        <f t="shared" si="210"/>
        <v>5.7142857142857144</v>
      </c>
      <c r="Q67" s="163">
        <f t="shared" si="210"/>
        <v>5.7142857142857144</v>
      </c>
      <c r="R67" s="163">
        <f t="shared" si="210"/>
        <v>5.7142857142857144</v>
      </c>
      <c r="S67" s="163">
        <f t="shared" si="210"/>
        <v>5.7142857142857144</v>
      </c>
      <c r="T67" s="163">
        <f t="shared" si="210"/>
        <v>5.7142857142857144</v>
      </c>
      <c r="U67" s="163">
        <f t="shared" si="210"/>
        <v>5.7142857142857144</v>
      </c>
      <c r="V67" s="163">
        <f t="shared" si="210"/>
        <v>5.7142857142857144</v>
      </c>
      <c r="W67" s="165">
        <f t="shared" si="210"/>
        <v>5.7142857142857144</v>
      </c>
      <c r="X67" s="163">
        <f t="shared" si="211"/>
        <v>5.7142857142857144</v>
      </c>
      <c r="Y67" s="163">
        <f t="shared" si="211"/>
        <v>5.7142857142857144</v>
      </c>
      <c r="Z67" s="166">
        <f t="shared" si="211"/>
        <v>5.7142857142857144</v>
      </c>
      <c r="AA67" s="163">
        <f t="shared" si="211"/>
        <v>5.7142857142857144</v>
      </c>
      <c r="AB67" s="163">
        <f t="shared" si="211"/>
        <v>5.7142857142857144</v>
      </c>
      <c r="AC67" s="163">
        <f t="shared" si="211"/>
        <v>5.7142857142857144</v>
      </c>
      <c r="AD67" s="163">
        <f t="shared" si="211"/>
        <v>5.7142857142857144</v>
      </c>
      <c r="AE67" s="163">
        <f t="shared" si="211"/>
        <v>5.7142857142857144</v>
      </c>
      <c r="AF67" s="163">
        <f t="shared" si="211"/>
        <v>5.7142857142857144</v>
      </c>
      <c r="AG67" s="163">
        <f t="shared" si="211"/>
        <v>5.7142857142857144</v>
      </c>
      <c r="AH67" s="203">
        <f t="shared" si="211"/>
        <v>5.7142857142857144</v>
      </c>
      <c r="AI67" s="162">
        <f t="shared" si="212"/>
        <v>0.7142857142857143</v>
      </c>
      <c r="AJ67" s="163">
        <f t="shared" si="213"/>
        <v>0.7142857142857143</v>
      </c>
      <c r="AK67" s="163">
        <f t="shared" si="214"/>
        <v>0.7142857142857143</v>
      </c>
      <c r="AL67" s="163">
        <f t="shared" si="215"/>
        <v>0.7142857142857143</v>
      </c>
      <c r="AM67" s="163">
        <f t="shared" si="216"/>
        <v>0.7142857142857143</v>
      </c>
      <c r="AN67" s="163">
        <f t="shared" si="217"/>
        <v>0.7142857142857143</v>
      </c>
      <c r="AO67" s="163">
        <f t="shared" si="218"/>
        <v>0.7142857142857143</v>
      </c>
      <c r="AP67" s="163">
        <f t="shared" si="219"/>
        <v>0.7142857142857143</v>
      </c>
      <c r="AQ67" s="163">
        <f t="shared" si="220"/>
        <v>0.7142857142857143</v>
      </c>
      <c r="AR67" s="164">
        <f t="shared" si="221"/>
        <v>0.7142857142857143</v>
      </c>
      <c r="AS67" s="163">
        <f t="shared" si="222"/>
        <v>0.7142857142857143</v>
      </c>
      <c r="AT67" s="163">
        <f t="shared" si="223"/>
        <v>0.7142857142857143</v>
      </c>
      <c r="AU67" s="163">
        <f t="shared" si="224"/>
        <v>0.7142857142857143</v>
      </c>
      <c r="AV67" s="163">
        <f t="shared" si="225"/>
        <v>0.7142857142857143</v>
      </c>
      <c r="AW67" s="163">
        <f t="shared" si="226"/>
        <v>0.7142857142857143</v>
      </c>
      <c r="AX67" s="163">
        <f t="shared" si="227"/>
        <v>0.7142857142857143</v>
      </c>
      <c r="AY67" s="163">
        <f t="shared" si="228"/>
        <v>0.7142857142857143</v>
      </c>
      <c r="AZ67" s="163">
        <f t="shared" si="229"/>
        <v>0.7142857142857143</v>
      </c>
      <c r="BA67" s="164">
        <f t="shared" si="230"/>
        <v>0.7142857142857143</v>
      </c>
      <c r="BB67" s="164">
        <f t="shared" si="231"/>
        <v>0.7142857142857143</v>
      </c>
      <c r="BC67" s="167">
        <f t="shared" si="232"/>
        <v>0.7142857142857143</v>
      </c>
    </row>
    <row r="68" spans="1:55" ht="15.75" thickBot="1" x14ac:dyDescent="0.3">
      <c r="A68" s="822"/>
      <c r="B68" s="266" t="s">
        <v>11</v>
      </c>
      <c r="C68" s="263">
        <v>7</v>
      </c>
      <c r="D68" s="264">
        <v>8</v>
      </c>
      <c r="E68" s="265">
        <v>28</v>
      </c>
      <c r="F68" s="265">
        <v>1200</v>
      </c>
      <c r="G68" s="265">
        <v>38</v>
      </c>
      <c r="H68" s="265">
        <v>300</v>
      </c>
      <c r="I68" s="266">
        <v>0</v>
      </c>
      <c r="J68" s="266">
        <v>4.2</v>
      </c>
      <c r="K68" s="263"/>
      <c r="L68" s="226">
        <f t="shared" si="233"/>
        <v>9.0476190476190474</v>
      </c>
      <c r="M68" s="227">
        <f t="shared" si="183"/>
        <v>1.1309523809523809</v>
      </c>
      <c r="N68" s="168">
        <f t="shared" si="210"/>
        <v>6.6666666666666661</v>
      </c>
      <c r="O68" s="169">
        <f t="shared" si="210"/>
        <v>6.6666666666666661</v>
      </c>
      <c r="P68" s="169">
        <f t="shared" si="210"/>
        <v>6.6666666666666661</v>
      </c>
      <c r="Q68" s="169">
        <f t="shared" si="210"/>
        <v>6.6666666666666661</v>
      </c>
      <c r="R68" s="169">
        <f t="shared" si="210"/>
        <v>6.6666666666666661</v>
      </c>
      <c r="S68" s="169">
        <f t="shared" si="210"/>
        <v>6.6666666666666661</v>
      </c>
      <c r="T68" s="169">
        <f t="shared" si="210"/>
        <v>6.6666666666666661</v>
      </c>
      <c r="U68" s="169">
        <f t="shared" si="210"/>
        <v>6.6666666666666661</v>
      </c>
      <c r="V68" s="169">
        <f t="shared" si="210"/>
        <v>6.6666666666666661</v>
      </c>
      <c r="W68" s="174">
        <f t="shared" si="210"/>
        <v>6.6666666666666661</v>
      </c>
      <c r="X68" s="169">
        <f t="shared" si="211"/>
        <v>6.6666666666666661</v>
      </c>
      <c r="Y68" s="169">
        <f t="shared" si="211"/>
        <v>6.6666666666666661</v>
      </c>
      <c r="Z68" s="171">
        <f t="shared" si="211"/>
        <v>6.6666666666666661</v>
      </c>
      <c r="AA68" s="169">
        <f t="shared" si="211"/>
        <v>6.6666666666666661</v>
      </c>
      <c r="AB68" s="169">
        <f t="shared" si="211"/>
        <v>6.6666666666666661</v>
      </c>
      <c r="AC68" s="169">
        <f t="shared" si="211"/>
        <v>6.6666666666666661</v>
      </c>
      <c r="AD68" s="169">
        <f t="shared" si="211"/>
        <v>6.6666666666666661</v>
      </c>
      <c r="AE68" s="169">
        <f t="shared" si="211"/>
        <v>6.6666666666666661</v>
      </c>
      <c r="AF68" s="169">
        <f t="shared" si="211"/>
        <v>6.6666666666666661</v>
      </c>
      <c r="AG68" s="169">
        <f t="shared" si="211"/>
        <v>6.6666666666666661</v>
      </c>
      <c r="AH68" s="174">
        <f t="shared" si="211"/>
        <v>6.6666666666666661</v>
      </c>
      <c r="AI68" s="168">
        <f t="shared" si="212"/>
        <v>0.83333333333333326</v>
      </c>
      <c r="AJ68" s="169">
        <f t="shared" si="213"/>
        <v>0.83333333333333326</v>
      </c>
      <c r="AK68" s="169">
        <f t="shared" si="214"/>
        <v>0.83333333333333326</v>
      </c>
      <c r="AL68" s="169">
        <f t="shared" si="215"/>
        <v>0.83333333333333326</v>
      </c>
      <c r="AM68" s="169">
        <f t="shared" si="216"/>
        <v>0.83333333333333326</v>
      </c>
      <c r="AN68" s="169">
        <f t="shared" si="217"/>
        <v>0.83333333333333326</v>
      </c>
      <c r="AO68" s="169">
        <f t="shared" si="218"/>
        <v>0.83333333333333326</v>
      </c>
      <c r="AP68" s="169">
        <f t="shared" si="219"/>
        <v>0.83333333333333326</v>
      </c>
      <c r="AQ68" s="169">
        <f t="shared" si="220"/>
        <v>0.83333333333333326</v>
      </c>
      <c r="AR68" s="169">
        <f t="shared" si="221"/>
        <v>0.83333333333333326</v>
      </c>
      <c r="AS68" s="169">
        <f t="shared" si="222"/>
        <v>0.83333333333333326</v>
      </c>
      <c r="AT68" s="169">
        <f t="shared" si="223"/>
        <v>0.83333333333333326</v>
      </c>
      <c r="AU68" s="169">
        <f t="shared" si="224"/>
        <v>0.83333333333333326</v>
      </c>
      <c r="AV68" s="169">
        <f t="shared" si="225"/>
        <v>0.83333333333333326</v>
      </c>
      <c r="AW68" s="169">
        <f t="shared" si="226"/>
        <v>0.83333333333333326</v>
      </c>
      <c r="AX68" s="169">
        <f t="shared" si="227"/>
        <v>0.83333333333333326</v>
      </c>
      <c r="AY68" s="169">
        <f t="shared" si="228"/>
        <v>0.83333333333333326</v>
      </c>
      <c r="AZ68" s="169">
        <f t="shared" si="229"/>
        <v>0.83333333333333326</v>
      </c>
      <c r="BA68" s="169">
        <f t="shared" si="230"/>
        <v>0.83333333333333326</v>
      </c>
      <c r="BB68" s="169">
        <f t="shared" si="231"/>
        <v>0.83333333333333326</v>
      </c>
      <c r="BC68" s="175">
        <f t="shared" si="232"/>
        <v>0.83333333333333326</v>
      </c>
    </row>
    <row r="69" spans="1:55" ht="15.75" thickBot="1" x14ac:dyDescent="0.3">
      <c r="A69" s="149" t="s">
        <v>197</v>
      </c>
      <c r="B69" s="277" t="s">
        <v>24</v>
      </c>
      <c r="C69" s="278">
        <v>8</v>
      </c>
      <c r="D69" s="279">
        <v>8</v>
      </c>
      <c r="E69" s="280">
        <v>35</v>
      </c>
      <c r="F69" s="280">
        <v>1200</v>
      </c>
      <c r="G69" s="280">
        <v>50</v>
      </c>
      <c r="H69" s="280">
        <v>1000</v>
      </c>
      <c r="I69" s="277">
        <v>0</v>
      </c>
      <c r="J69" s="277">
        <v>4.2</v>
      </c>
      <c r="K69" s="278"/>
      <c r="L69" s="292">
        <f t="shared" si="233"/>
        <v>11.904761904761905</v>
      </c>
      <c r="M69" s="293">
        <f t="shared" si="183"/>
        <v>1.4880952380952381</v>
      </c>
      <c r="N69" s="150">
        <f t="shared" si="210"/>
        <v>8.3333333333333321</v>
      </c>
      <c r="O69" s="151">
        <f t="shared" si="210"/>
        <v>8.3333333333333321</v>
      </c>
      <c r="P69" s="151">
        <f t="shared" si="210"/>
        <v>8.3333333333333321</v>
      </c>
      <c r="Q69" s="151">
        <f t="shared" si="210"/>
        <v>8.3333333333333321</v>
      </c>
      <c r="R69" s="151">
        <f t="shared" si="210"/>
        <v>8.3333333333333321</v>
      </c>
      <c r="S69" s="151">
        <f t="shared" si="210"/>
        <v>8.3333333333333321</v>
      </c>
      <c r="T69" s="151">
        <f t="shared" si="210"/>
        <v>8.3333333333333321</v>
      </c>
      <c r="U69" s="151">
        <f t="shared" si="210"/>
        <v>8.3333333333333321</v>
      </c>
      <c r="V69" s="151">
        <f t="shared" si="210"/>
        <v>8.3333333333333321</v>
      </c>
      <c r="W69" s="153">
        <f t="shared" si="210"/>
        <v>8.3333333333333321</v>
      </c>
      <c r="X69" s="151">
        <f t="shared" si="211"/>
        <v>8.3333333333333321</v>
      </c>
      <c r="Y69" s="151">
        <f t="shared" si="211"/>
        <v>8.3333333333333321</v>
      </c>
      <c r="Z69" s="154">
        <f t="shared" si="211"/>
        <v>8.3333333333333321</v>
      </c>
      <c r="AA69" s="151">
        <f t="shared" si="211"/>
        <v>8.3333333333333321</v>
      </c>
      <c r="AB69" s="151">
        <f t="shared" si="211"/>
        <v>8.3333333333333321</v>
      </c>
      <c r="AC69" s="151">
        <f t="shared" si="211"/>
        <v>8.3333333333333321</v>
      </c>
      <c r="AD69" s="151">
        <f t="shared" si="211"/>
        <v>8.3333333333333321</v>
      </c>
      <c r="AE69" s="151">
        <f t="shared" si="211"/>
        <v>8.3333333333333321</v>
      </c>
      <c r="AF69" s="151">
        <f t="shared" si="211"/>
        <v>8.3333333333333321</v>
      </c>
      <c r="AG69" s="151">
        <f t="shared" si="211"/>
        <v>8.3333333333333321</v>
      </c>
      <c r="AH69" s="290">
        <f t="shared" si="211"/>
        <v>8.3333333333333321</v>
      </c>
      <c r="AI69" s="150">
        <f t="shared" ref="AI69:BC69" si="234">IF(N$2&lt;=$F69,N69/$D69,"-")</f>
        <v>1.0416666666666665</v>
      </c>
      <c r="AJ69" s="151">
        <f t="shared" si="234"/>
        <v>1.0416666666666665</v>
      </c>
      <c r="AK69" s="151">
        <f t="shared" si="234"/>
        <v>1.0416666666666665</v>
      </c>
      <c r="AL69" s="151">
        <f t="shared" si="234"/>
        <v>1.0416666666666665</v>
      </c>
      <c r="AM69" s="151">
        <f t="shared" si="234"/>
        <v>1.0416666666666665</v>
      </c>
      <c r="AN69" s="151">
        <f t="shared" si="234"/>
        <v>1.0416666666666665</v>
      </c>
      <c r="AO69" s="151">
        <f t="shared" si="234"/>
        <v>1.0416666666666665</v>
      </c>
      <c r="AP69" s="151">
        <f t="shared" si="234"/>
        <v>1.0416666666666665</v>
      </c>
      <c r="AQ69" s="151">
        <f t="shared" si="234"/>
        <v>1.0416666666666665</v>
      </c>
      <c r="AR69" s="152">
        <f t="shared" si="234"/>
        <v>1.0416666666666665</v>
      </c>
      <c r="AS69" s="151">
        <f t="shared" si="234"/>
        <v>1.0416666666666665</v>
      </c>
      <c r="AT69" s="151">
        <f t="shared" si="234"/>
        <v>1.0416666666666665</v>
      </c>
      <c r="AU69" s="151">
        <f t="shared" si="234"/>
        <v>1.0416666666666665</v>
      </c>
      <c r="AV69" s="151">
        <f t="shared" si="234"/>
        <v>1.0416666666666665</v>
      </c>
      <c r="AW69" s="151">
        <f t="shared" si="234"/>
        <v>1.0416666666666665</v>
      </c>
      <c r="AX69" s="151">
        <f t="shared" si="234"/>
        <v>1.0416666666666665</v>
      </c>
      <c r="AY69" s="151">
        <f t="shared" si="234"/>
        <v>1.0416666666666665</v>
      </c>
      <c r="AZ69" s="151">
        <f t="shared" si="234"/>
        <v>1.0416666666666665</v>
      </c>
      <c r="BA69" s="152">
        <f t="shared" si="234"/>
        <v>1.0416666666666665</v>
      </c>
      <c r="BB69" s="152">
        <f t="shared" si="234"/>
        <v>1.0416666666666665</v>
      </c>
      <c r="BC69" s="155">
        <f t="shared" si="234"/>
        <v>1.0416666666666665</v>
      </c>
    </row>
    <row r="70" spans="1:55" x14ac:dyDescent="0.25">
      <c r="A70" s="820" t="s">
        <v>195</v>
      </c>
      <c r="B70" s="261" t="s">
        <v>9</v>
      </c>
      <c r="C70" s="258">
        <v>3</v>
      </c>
      <c r="D70" s="259">
        <v>10</v>
      </c>
      <c r="E70" s="260">
        <v>45</v>
      </c>
      <c r="F70" s="260">
        <v>1200</v>
      </c>
      <c r="G70" s="260">
        <v>100</v>
      </c>
      <c r="H70" s="260">
        <v>150</v>
      </c>
      <c r="I70" s="261">
        <v>0</v>
      </c>
      <c r="J70" s="261">
        <v>10</v>
      </c>
      <c r="K70" s="258"/>
      <c r="L70" s="224">
        <f t="shared" si="233"/>
        <v>10</v>
      </c>
      <c r="M70" s="225">
        <f t="shared" si="183"/>
        <v>1</v>
      </c>
      <c r="N70" s="156">
        <f t="shared" si="210"/>
        <v>4.5</v>
      </c>
      <c r="O70" s="157">
        <f t="shared" si="210"/>
        <v>4.5</v>
      </c>
      <c r="P70" s="157">
        <f t="shared" si="210"/>
        <v>4.5</v>
      </c>
      <c r="Q70" s="157">
        <f t="shared" si="210"/>
        <v>4.5</v>
      </c>
      <c r="R70" s="157">
        <f t="shared" si="210"/>
        <v>4.5</v>
      </c>
      <c r="S70" s="157">
        <f t="shared" si="210"/>
        <v>4.5</v>
      </c>
      <c r="T70" s="158">
        <f t="shared" si="210"/>
        <v>4.5</v>
      </c>
      <c r="U70" s="158">
        <f t="shared" si="210"/>
        <v>4.5</v>
      </c>
      <c r="V70" s="158">
        <f t="shared" si="210"/>
        <v>4.5</v>
      </c>
      <c r="W70" s="159">
        <f t="shared" si="210"/>
        <v>4.5</v>
      </c>
      <c r="X70" s="157">
        <f t="shared" si="211"/>
        <v>4.5</v>
      </c>
      <c r="Y70" s="157">
        <f t="shared" si="211"/>
        <v>4.5</v>
      </c>
      <c r="Z70" s="160">
        <f t="shared" si="211"/>
        <v>4.5</v>
      </c>
      <c r="AA70" s="157">
        <f t="shared" si="211"/>
        <v>4.5</v>
      </c>
      <c r="AB70" s="157">
        <f t="shared" si="211"/>
        <v>4.5</v>
      </c>
      <c r="AC70" s="157">
        <f t="shared" si="211"/>
        <v>4.5</v>
      </c>
      <c r="AD70" s="157">
        <f t="shared" si="211"/>
        <v>4.5</v>
      </c>
      <c r="AE70" s="157">
        <f t="shared" si="211"/>
        <v>4.5</v>
      </c>
      <c r="AF70" s="158">
        <f t="shared" si="211"/>
        <v>4.5</v>
      </c>
      <c r="AG70" s="158">
        <f t="shared" si="211"/>
        <v>4.5</v>
      </c>
      <c r="AH70" s="159">
        <f t="shared" si="211"/>
        <v>4.5</v>
      </c>
      <c r="AI70" s="156">
        <f t="shared" si="86"/>
        <v>0.45</v>
      </c>
      <c r="AJ70" s="157">
        <f t="shared" si="87"/>
        <v>0.45</v>
      </c>
      <c r="AK70" s="157">
        <f t="shared" si="88"/>
        <v>0.45</v>
      </c>
      <c r="AL70" s="157">
        <f t="shared" si="89"/>
        <v>0.45</v>
      </c>
      <c r="AM70" s="157">
        <f t="shared" si="90"/>
        <v>0.45</v>
      </c>
      <c r="AN70" s="157">
        <f t="shared" si="91"/>
        <v>0.45</v>
      </c>
      <c r="AO70" s="158">
        <f t="shared" si="92"/>
        <v>0.45</v>
      </c>
      <c r="AP70" s="158">
        <f t="shared" si="93"/>
        <v>0.45</v>
      </c>
      <c r="AQ70" s="158">
        <f t="shared" si="94"/>
        <v>0.45</v>
      </c>
      <c r="AR70" s="158">
        <f t="shared" si="95"/>
        <v>0.45</v>
      </c>
      <c r="AS70" s="157">
        <f t="shared" si="96"/>
        <v>0.45</v>
      </c>
      <c r="AT70" s="157">
        <f t="shared" si="97"/>
        <v>0.45</v>
      </c>
      <c r="AU70" s="157">
        <f t="shared" si="98"/>
        <v>0.45</v>
      </c>
      <c r="AV70" s="157">
        <f t="shared" si="99"/>
        <v>0.45</v>
      </c>
      <c r="AW70" s="157">
        <f t="shared" si="100"/>
        <v>0.45</v>
      </c>
      <c r="AX70" s="158">
        <f t="shared" si="101"/>
        <v>0.45</v>
      </c>
      <c r="AY70" s="158">
        <f t="shared" si="102"/>
        <v>0.45</v>
      </c>
      <c r="AZ70" s="158">
        <f t="shared" si="103"/>
        <v>0.45</v>
      </c>
      <c r="BA70" s="158">
        <f t="shared" si="104"/>
        <v>0.45</v>
      </c>
      <c r="BB70" s="158">
        <f t="shared" si="105"/>
        <v>0.45</v>
      </c>
      <c r="BC70" s="161">
        <f t="shared" si="106"/>
        <v>0.45</v>
      </c>
    </row>
    <row r="71" spans="1:55" x14ac:dyDescent="0.25">
      <c r="A71" s="821"/>
      <c r="B71" s="267" t="s">
        <v>10</v>
      </c>
      <c r="C71" s="268">
        <v>4</v>
      </c>
      <c r="D71" s="269">
        <v>10</v>
      </c>
      <c r="E71" s="270">
        <v>55</v>
      </c>
      <c r="F71" s="270">
        <v>1200</v>
      </c>
      <c r="G71" s="270">
        <v>100</v>
      </c>
      <c r="H71" s="270">
        <v>175</v>
      </c>
      <c r="I71" s="267">
        <v>0</v>
      </c>
      <c r="J71" s="267">
        <v>10</v>
      </c>
      <c r="K71" s="268"/>
      <c r="L71" s="228">
        <f t="shared" si="233"/>
        <v>10</v>
      </c>
      <c r="M71" s="229">
        <f t="shared" si="183"/>
        <v>1</v>
      </c>
      <c r="N71" s="162">
        <f t="shared" si="210"/>
        <v>5.5</v>
      </c>
      <c r="O71" s="163">
        <f t="shared" si="210"/>
        <v>5.5</v>
      </c>
      <c r="P71" s="163">
        <f t="shared" si="210"/>
        <v>5.5</v>
      </c>
      <c r="Q71" s="163">
        <f t="shared" si="210"/>
        <v>5.5</v>
      </c>
      <c r="R71" s="163">
        <f t="shared" si="210"/>
        <v>5.5</v>
      </c>
      <c r="S71" s="163">
        <f t="shared" si="210"/>
        <v>5.5</v>
      </c>
      <c r="T71" s="163">
        <f t="shared" si="210"/>
        <v>5.5</v>
      </c>
      <c r="U71" s="164">
        <f t="shared" si="210"/>
        <v>5.5</v>
      </c>
      <c r="V71" s="164">
        <f t="shared" si="210"/>
        <v>5.5</v>
      </c>
      <c r="W71" s="165">
        <f t="shared" si="210"/>
        <v>5.5</v>
      </c>
      <c r="X71" s="163">
        <f t="shared" si="211"/>
        <v>5.5</v>
      </c>
      <c r="Y71" s="163">
        <f t="shared" si="211"/>
        <v>5.5</v>
      </c>
      <c r="Z71" s="166">
        <f t="shared" si="211"/>
        <v>5.5</v>
      </c>
      <c r="AA71" s="163">
        <f t="shared" si="211"/>
        <v>5.5</v>
      </c>
      <c r="AB71" s="163">
        <f t="shared" si="211"/>
        <v>5.5</v>
      </c>
      <c r="AC71" s="163">
        <f t="shared" si="211"/>
        <v>5.5</v>
      </c>
      <c r="AD71" s="163">
        <f t="shared" si="211"/>
        <v>5.5</v>
      </c>
      <c r="AE71" s="163">
        <f t="shared" si="211"/>
        <v>5.5</v>
      </c>
      <c r="AF71" s="163">
        <f t="shared" si="211"/>
        <v>5.5</v>
      </c>
      <c r="AG71" s="164">
        <f t="shared" si="211"/>
        <v>5.5</v>
      </c>
      <c r="AH71" s="165">
        <f t="shared" si="211"/>
        <v>5.5</v>
      </c>
      <c r="AI71" s="162">
        <f t="shared" si="86"/>
        <v>0.55000000000000004</v>
      </c>
      <c r="AJ71" s="163">
        <f t="shared" si="87"/>
        <v>0.55000000000000004</v>
      </c>
      <c r="AK71" s="163">
        <f t="shared" si="88"/>
        <v>0.55000000000000004</v>
      </c>
      <c r="AL71" s="163">
        <f t="shared" si="89"/>
        <v>0.55000000000000004</v>
      </c>
      <c r="AM71" s="163">
        <f t="shared" si="90"/>
        <v>0.55000000000000004</v>
      </c>
      <c r="AN71" s="163">
        <f t="shared" si="91"/>
        <v>0.55000000000000004</v>
      </c>
      <c r="AO71" s="163">
        <f t="shared" si="92"/>
        <v>0.55000000000000004</v>
      </c>
      <c r="AP71" s="164">
        <f t="shared" si="93"/>
        <v>0.55000000000000004</v>
      </c>
      <c r="AQ71" s="164">
        <f t="shared" si="94"/>
        <v>0.55000000000000004</v>
      </c>
      <c r="AR71" s="164">
        <f t="shared" si="95"/>
        <v>0.55000000000000004</v>
      </c>
      <c r="AS71" s="163">
        <f t="shared" si="96"/>
        <v>0.55000000000000004</v>
      </c>
      <c r="AT71" s="163">
        <f t="shared" si="97"/>
        <v>0.55000000000000004</v>
      </c>
      <c r="AU71" s="163">
        <f t="shared" si="98"/>
        <v>0.55000000000000004</v>
      </c>
      <c r="AV71" s="163">
        <f t="shared" si="99"/>
        <v>0.55000000000000004</v>
      </c>
      <c r="AW71" s="163">
        <f t="shared" si="100"/>
        <v>0.55000000000000004</v>
      </c>
      <c r="AX71" s="163">
        <f t="shared" si="101"/>
        <v>0.55000000000000004</v>
      </c>
      <c r="AY71" s="164">
        <f t="shared" si="102"/>
        <v>0.55000000000000004</v>
      </c>
      <c r="AZ71" s="164">
        <f t="shared" si="103"/>
        <v>0.55000000000000004</v>
      </c>
      <c r="BA71" s="164">
        <f t="shared" si="104"/>
        <v>0.55000000000000004</v>
      </c>
      <c r="BB71" s="164">
        <f t="shared" si="105"/>
        <v>0.55000000000000004</v>
      </c>
      <c r="BC71" s="167">
        <f t="shared" si="106"/>
        <v>0.55000000000000004</v>
      </c>
    </row>
    <row r="72" spans="1:55" ht="15.75" thickBot="1" x14ac:dyDescent="0.3">
      <c r="A72" s="822"/>
      <c r="B72" s="266" t="s">
        <v>11</v>
      </c>
      <c r="C72" s="263">
        <v>5</v>
      </c>
      <c r="D72" s="264">
        <v>10</v>
      </c>
      <c r="E72" s="265">
        <v>65</v>
      </c>
      <c r="F72" s="265">
        <v>1200</v>
      </c>
      <c r="G72" s="265">
        <v>100</v>
      </c>
      <c r="H72" s="265">
        <v>200</v>
      </c>
      <c r="I72" s="266">
        <v>0</v>
      </c>
      <c r="J72" s="266">
        <v>10</v>
      </c>
      <c r="K72" s="263"/>
      <c r="L72" s="226">
        <f t="shared" si="233"/>
        <v>10</v>
      </c>
      <c r="M72" s="227">
        <f t="shared" si="183"/>
        <v>1</v>
      </c>
      <c r="N72" s="168">
        <f t="shared" si="210"/>
        <v>6.5</v>
      </c>
      <c r="O72" s="169">
        <f t="shared" si="210"/>
        <v>6.5</v>
      </c>
      <c r="P72" s="169">
        <f t="shared" si="210"/>
        <v>6.5</v>
      </c>
      <c r="Q72" s="169">
        <f t="shared" si="210"/>
        <v>6.5</v>
      </c>
      <c r="R72" s="169">
        <f t="shared" si="210"/>
        <v>6.5</v>
      </c>
      <c r="S72" s="169">
        <f t="shared" si="210"/>
        <v>6.5</v>
      </c>
      <c r="T72" s="169">
        <f t="shared" si="210"/>
        <v>6.5</v>
      </c>
      <c r="U72" s="169">
        <f t="shared" si="210"/>
        <v>6.5</v>
      </c>
      <c r="V72" s="169">
        <f t="shared" si="210"/>
        <v>6.5</v>
      </c>
      <c r="W72" s="170">
        <f t="shared" si="210"/>
        <v>6.5</v>
      </c>
      <c r="X72" s="169">
        <f t="shared" si="211"/>
        <v>6.5</v>
      </c>
      <c r="Y72" s="169">
        <f t="shared" si="211"/>
        <v>6.5</v>
      </c>
      <c r="Z72" s="171">
        <f t="shared" si="211"/>
        <v>6.5</v>
      </c>
      <c r="AA72" s="169">
        <f t="shared" si="211"/>
        <v>6.5</v>
      </c>
      <c r="AB72" s="169">
        <f t="shared" si="211"/>
        <v>6.5</v>
      </c>
      <c r="AC72" s="169">
        <f t="shared" si="211"/>
        <v>6.5</v>
      </c>
      <c r="AD72" s="169">
        <f t="shared" si="211"/>
        <v>6.5</v>
      </c>
      <c r="AE72" s="169">
        <f t="shared" si="211"/>
        <v>6.5</v>
      </c>
      <c r="AF72" s="169">
        <f t="shared" si="211"/>
        <v>6.5</v>
      </c>
      <c r="AG72" s="169">
        <f t="shared" si="211"/>
        <v>6.5</v>
      </c>
      <c r="AH72" s="174">
        <f t="shared" si="211"/>
        <v>6.5</v>
      </c>
      <c r="AI72" s="168">
        <f t="shared" si="86"/>
        <v>0.65</v>
      </c>
      <c r="AJ72" s="169">
        <f t="shared" si="87"/>
        <v>0.65</v>
      </c>
      <c r="AK72" s="169">
        <f t="shared" si="88"/>
        <v>0.65</v>
      </c>
      <c r="AL72" s="169">
        <f t="shared" si="89"/>
        <v>0.65</v>
      </c>
      <c r="AM72" s="169">
        <f t="shared" si="90"/>
        <v>0.65</v>
      </c>
      <c r="AN72" s="169">
        <f t="shared" si="91"/>
        <v>0.65</v>
      </c>
      <c r="AO72" s="169">
        <f t="shared" si="92"/>
        <v>0.65</v>
      </c>
      <c r="AP72" s="169">
        <f t="shared" si="93"/>
        <v>0.65</v>
      </c>
      <c r="AQ72" s="169">
        <f t="shared" si="94"/>
        <v>0.65</v>
      </c>
      <c r="AR72" s="172">
        <f t="shared" si="95"/>
        <v>0.65</v>
      </c>
      <c r="AS72" s="169">
        <f t="shared" si="96"/>
        <v>0.65</v>
      </c>
      <c r="AT72" s="169">
        <f t="shared" si="97"/>
        <v>0.65</v>
      </c>
      <c r="AU72" s="169">
        <f t="shared" si="98"/>
        <v>0.65</v>
      </c>
      <c r="AV72" s="169">
        <f t="shared" si="99"/>
        <v>0.65</v>
      </c>
      <c r="AW72" s="169">
        <f t="shared" si="100"/>
        <v>0.65</v>
      </c>
      <c r="AX72" s="169">
        <f t="shared" si="101"/>
        <v>0.65</v>
      </c>
      <c r="AY72" s="169">
        <f t="shared" si="102"/>
        <v>0.65</v>
      </c>
      <c r="AZ72" s="169">
        <f t="shared" si="103"/>
        <v>0.65</v>
      </c>
      <c r="BA72" s="172">
        <f t="shared" si="104"/>
        <v>0.65</v>
      </c>
      <c r="BB72" s="172">
        <f t="shared" si="105"/>
        <v>0.65</v>
      </c>
      <c r="BC72" s="173">
        <f t="shared" si="106"/>
        <v>0.65</v>
      </c>
    </row>
    <row r="73" spans="1:55" ht="15.75" thickBot="1" x14ac:dyDescent="0.3">
      <c r="A73" s="149" t="s">
        <v>196</v>
      </c>
      <c r="B73" s="277" t="s">
        <v>24</v>
      </c>
      <c r="C73" s="278">
        <v>7</v>
      </c>
      <c r="D73" s="279">
        <v>10</v>
      </c>
      <c r="E73" s="280">
        <v>100</v>
      </c>
      <c r="F73" s="280">
        <v>1200</v>
      </c>
      <c r="G73" s="280">
        <v>150</v>
      </c>
      <c r="H73" s="280">
        <v>250</v>
      </c>
      <c r="I73" s="277">
        <v>0</v>
      </c>
      <c r="J73" s="277">
        <v>10</v>
      </c>
      <c r="K73" s="278"/>
      <c r="L73" s="292">
        <f t="shared" si="233"/>
        <v>15</v>
      </c>
      <c r="M73" s="293">
        <f t="shared" si="183"/>
        <v>1.5</v>
      </c>
      <c r="N73" s="150">
        <f t="shared" ref="N73:W82" si="235">IF(AND(N$2&lt;=$F73,($E73-$I73*N$2/100)/$J73&gt;0),($E73-$I73*N$2/100)/$J73,"-")</f>
        <v>10</v>
      </c>
      <c r="O73" s="151">
        <f t="shared" si="235"/>
        <v>10</v>
      </c>
      <c r="P73" s="151">
        <f t="shared" si="235"/>
        <v>10</v>
      </c>
      <c r="Q73" s="151">
        <f t="shared" si="235"/>
        <v>10</v>
      </c>
      <c r="R73" s="151">
        <f t="shared" si="235"/>
        <v>10</v>
      </c>
      <c r="S73" s="151">
        <f t="shared" si="235"/>
        <v>10</v>
      </c>
      <c r="T73" s="151">
        <f t="shared" si="235"/>
        <v>10</v>
      </c>
      <c r="U73" s="151">
        <f t="shared" si="235"/>
        <v>10</v>
      </c>
      <c r="V73" s="152">
        <f t="shared" si="235"/>
        <v>10</v>
      </c>
      <c r="W73" s="153">
        <f t="shared" si="235"/>
        <v>10</v>
      </c>
      <c r="X73" s="151">
        <f t="shared" ref="X73:AH82" si="236">IF(AND(X$2&lt;=$F73,($E73-$I73*X$2/100)/$J73&gt;0),($E73-$I73*X$2/100)/$J73,"-")</f>
        <v>10</v>
      </c>
      <c r="Y73" s="151">
        <f t="shared" si="236"/>
        <v>10</v>
      </c>
      <c r="Z73" s="154">
        <f t="shared" si="236"/>
        <v>10</v>
      </c>
      <c r="AA73" s="151">
        <f t="shared" si="236"/>
        <v>10</v>
      </c>
      <c r="AB73" s="151">
        <f t="shared" si="236"/>
        <v>10</v>
      </c>
      <c r="AC73" s="151">
        <f t="shared" si="236"/>
        <v>10</v>
      </c>
      <c r="AD73" s="151">
        <f t="shared" si="236"/>
        <v>10</v>
      </c>
      <c r="AE73" s="151">
        <f t="shared" si="236"/>
        <v>10</v>
      </c>
      <c r="AF73" s="151">
        <f t="shared" si="236"/>
        <v>10</v>
      </c>
      <c r="AG73" s="151">
        <f t="shared" si="236"/>
        <v>10</v>
      </c>
      <c r="AH73" s="153">
        <f t="shared" si="236"/>
        <v>10</v>
      </c>
      <c r="AI73" s="150">
        <f t="shared" si="86"/>
        <v>1</v>
      </c>
      <c r="AJ73" s="151">
        <f t="shared" si="87"/>
        <v>1</v>
      </c>
      <c r="AK73" s="151">
        <f t="shared" si="88"/>
        <v>1</v>
      </c>
      <c r="AL73" s="151">
        <f t="shared" si="89"/>
        <v>1</v>
      </c>
      <c r="AM73" s="151">
        <f t="shared" si="90"/>
        <v>1</v>
      </c>
      <c r="AN73" s="151">
        <f t="shared" si="91"/>
        <v>1</v>
      </c>
      <c r="AO73" s="151">
        <f t="shared" si="92"/>
        <v>1</v>
      </c>
      <c r="AP73" s="151">
        <f t="shared" si="93"/>
        <v>1</v>
      </c>
      <c r="AQ73" s="152">
        <f t="shared" si="94"/>
        <v>1</v>
      </c>
      <c r="AR73" s="152">
        <f t="shared" si="95"/>
        <v>1</v>
      </c>
      <c r="AS73" s="151">
        <f t="shared" si="96"/>
        <v>1</v>
      </c>
      <c r="AT73" s="151">
        <f t="shared" si="97"/>
        <v>1</v>
      </c>
      <c r="AU73" s="151">
        <f t="shared" si="98"/>
        <v>1</v>
      </c>
      <c r="AV73" s="151">
        <f t="shared" si="99"/>
        <v>1</v>
      </c>
      <c r="AW73" s="151">
        <f t="shared" si="100"/>
        <v>1</v>
      </c>
      <c r="AX73" s="151">
        <f t="shared" si="101"/>
        <v>1</v>
      </c>
      <c r="AY73" s="151">
        <f t="shared" si="102"/>
        <v>1</v>
      </c>
      <c r="AZ73" s="152">
        <f t="shared" si="103"/>
        <v>1</v>
      </c>
      <c r="BA73" s="152">
        <f t="shared" si="104"/>
        <v>1</v>
      </c>
      <c r="BB73" s="152">
        <f t="shared" si="105"/>
        <v>1</v>
      </c>
      <c r="BC73" s="155">
        <f t="shared" si="106"/>
        <v>1</v>
      </c>
    </row>
    <row r="74" spans="1:55" ht="15.75" thickBot="1" x14ac:dyDescent="0.3">
      <c r="A74" s="291" t="s">
        <v>198</v>
      </c>
      <c r="B74" s="281" t="s">
        <v>24</v>
      </c>
      <c r="C74" s="282">
        <v>8</v>
      </c>
      <c r="D74" s="283">
        <v>10</v>
      </c>
      <c r="E74" s="284">
        <v>133</v>
      </c>
      <c r="F74" s="284">
        <v>1200</v>
      </c>
      <c r="G74" s="284">
        <v>180</v>
      </c>
      <c r="H74" s="284">
        <v>300</v>
      </c>
      <c r="I74" s="281">
        <v>0</v>
      </c>
      <c r="J74" s="281">
        <v>10</v>
      </c>
      <c r="K74" s="282"/>
      <c r="L74" s="294">
        <f t="shared" si="233"/>
        <v>18</v>
      </c>
      <c r="M74" s="295">
        <f t="shared" si="183"/>
        <v>1.8</v>
      </c>
      <c r="N74" s="285">
        <f t="shared" si="235"/>
        <v>13.3</v>
      </c>
      <c r="O74" s="286">
        <f t="shared" si="235"/>
        <v>13.3</v>
      </c>
      <c r="P74" s="286">
        <f t="shared" si="235"/>
        <v>13.3</v>
      </c>
      <c r="Q74" s="286">
        <f t="shared" si="235"/>
        <v>13.3</v>
      </c>
      <c r="R74" s="286">
        <f t="shared" si="235"/>
        <v>13.3</v>
      </c>
      <c r="S74" s="286">
        <f t="shared" si="235"/>
        <v>13.3</v>
      </c>
      <c r="T74" s="286">
        <f t="shared" si="235"/>
        <v>13.3</v>
      </c>
      <c r="U74" s="286">
        <f t="shared" si="235"/>
        <v>13.3</v>
      </c>
      <c r="V74" s="286">
        <f t="shared" si="235"/>
        <v>13.3</v>
      </c>
      <c r="W74" s="287">
        <f t="shared" si="235"/>
        <v>13.3</v>
      </c>
      <c r="X74" s="286">
        <f t="shared" si="236"/>
        <v>13.3</v>
      </c>
      <c r="Y74" s="286">
        <f t="shared" si="236"/>
        <v>13.3</v>
      </c>
      <c r="Z74" s="288">
        <f t="shared" si="236"/>
        <v>13.3</v>
      </c>
      <c r="AA74" s="286">
        <f t="shared" si="236"/>
        <v>13.3</v>
      </c>
      <c r="AB74" s="286">
        <f t="shared" si="236"/>
        <v>13.3</v>
      </c>
      <c r="AC74" s="286">
        <f t="shared" si="236"/>
        <v>13.3</v>
      </c>
      <c r="AD74" s="286">
        <f t="shared" si="236"/>
        <v>13.3</v>
      </c>
      <c r="AE74" s="286">
        <f t="shared" si="236"/>
        <v>13.3</v>
      </c>
      <c r="AF74" s="286">
        <f t="shared" si="236"/>
        <v>13.3</v>
      </c>
      <c r="AG74" s="286">
        <f t="shared" si="236"/>
        <v>13.3</v>
      </c>
      <c r="AH74" s="287">
        <f t="shared" si="236"/>
        <v>13.3</v>
      </c>
      <c r="AI74" s="285">
        <f t="shared" si="86"/>
        <v>1.33</v>
      </c>
      <c r="AJ74" s="286">
        <f t="shared" si="87"/>
        <v>1.33</v>
      </c>
      <c r="AK74" s="286">
        <f t="shared" si="88"/>
        <v>1.33</v>
      </c>
      <c r="AL74" s="286">
        <f t="shared" si="89"/>
        <v>1.33</v>
      </c>
      <c r="AM74" s="286">
        <f t="shared" si="90"/>
        <v>1.33</v>
      </c>
      <c r="AN74" s="286">
        <f t="shared" si="91"/>
        <v>1.33</v>
      </c>
      <c r="AO74" s="286">
        <f t="shared" si="92"/>
        <v>1.33</v>
      </c>
      <c r="AP74" s="286">
        <f t="shared" si="93"/>
        <v>1.33</v>
      </c>
      <c r="AQ74" s="286">
        <f t="shared" si="94"/>
        <v>1.33</v>
      </c>
      <c r="AR74" s="286">
        <f t="shared" si="95"/>
        <v>1.33</v>
      </c>
      <c r="AS74" s="286">
        <f t="shared" si="96"/>
        <v>1.33</v>
      </c>
      <c r="AT74" s="286">
        <f t="shared" si="97"/>
        <v>1.33</v>
      </c>
      <c r="AU74" s="286">
        <f t="shared" si="98"/>
        <v>1.33</v>
      </c>
      <c r="AV74" s="286">
        <f t="shared" si="99"/>
        <v>1.33</v>
      </c>
      <c r="AW74" s="286">
        <f t="shared" si="100"/>
        <v>1.33</v>
      </c>
      <c r="AX74" s="286">
        <f t="shared" si="101"/>
        <v>1.33</v>
      </c>
      <c r="AY74" s="286">
        <f t="shared" si="102"/>
        <v>1.33</v>
      </c>
      <c r="AZ74" s="286">
        <f t="shared" si="103"/>
        <v>1.33</v>
      </c>
      <c r="BA74" s="286">
        <f t="shared" si="104"/>
        <v>1.33</v>
      </c>
      <c r="BB74" s="286">
        <f t="shared" si="105"/>
        <v>1.33</v>
      </c>
      <c r="BC74" s="289">
        <f t="shared" si="106"/>
        <v>1.33</v>
      </c>
    </row>
    <row r="75" spans="1:55" x14ac:dyDescent="0.25">
      <c r="A75" s="850" t="s">
        <v>33</v>
      </c>
      <c r="B75" s="587" t="s">
        <v>9</v>
      </c>
      <c r="C75" s="588">
        <v>1</v>
      </c>
      <c r="D75" s="589">
        <v>12</v>
      </c>
      <c r="E75" s="590">
        <v>13</v>
      </c>
      <c r="F75" s="590">
        <v>300</v>
      </c>
      <c r="G75" s="590">
        <v>30</v>
      </c>
      <c r="H75" s="590">
        <v>60</v>
      </c>
      <c r="I75" s="587">
        <v>3</v>
      </c>
      <c r="J75" s="587">
        <v>3.6</v>
      </c>
      <c r="K75" s="588"/>
      <c r="L75" s="591">
        <f t="shared" si="233"/>
        <v>8.3333333333333339</v>
      </c>
      <c r="M75" s="592">
        <f t="shared" si="183"/>
        <v>0.69444444444444453</v>
      </c>
      <c r="N75" s="593">
        <f t="shared" si="235"/>
        <v>3.6111111111111112</v>
      </c>
      <c r="O75" s="594">
        <f t="shared" si="235"/>
        <v>3.1944444444444442</v>
      </c>
      <c r="P75" s="594">
        <f t="shared" si="235"/>
        <v>2.7777777777777777</v>
      </c>
      <c r="Q75" s="594">
        <f t="shared" si="235"/>
        <v>2.3611111111111112</v>
      </c>
      <c r="R75" s="595">
        <f t="shared" si="235"/>
        <v>1.9444444444444444</v>
      </c>
      <c r="S75" s="595">
        <f t="shared" si="235"/>
        <v>1.5277777777777777</v>
      </c>
      <c r="T75" s="595">
        <f t="shared" si="235"/>
        <v>1.1111111111111112</v>
      </c>
      <c r="U75" s="595" t="str">
        <f t="shared" si="235"/>
        <v>-</v>
      </c>
      <c r="V75" s="595" t="str">
        <f t="shared" si="235"/>
        <v>-</v>
      </c>
      <c r="W75" s="596" t="str">
        <f t="shared" si="235"/>
        <v>-</v>
      </c>
      <c r="X75" s="594" t="str">
        <f t="shared" si="236"/>
        <v>-</v>
      </c>
      <c r="Y75" s="594" t="str">
        <f t="shared" si="236"/>
        <v>-</v>
      </c>
      <c r="Z75" s="597" t="str">
        <f t="shared" si="236"/>
        <v>-</v>
      </c>
      <c r="AA75" s="594" t="str">
        <f t="shared" si="236"/>
        <v>-</v>
      </c>
      <c r="AB75" s="594" t="str">
        <f t="shared" si="236"/>
        <v>-</v>
      </c>
      <c r="AC75" s="594" t="str">
        <f t="shared" si="236"/>
        <v>-</v>
      </c>
      <c r="AD75" s="595" t="str">
        <f t="shared" si="236"/>
        <v>-</v>
      </c>
      <c r="AE75" s="595" t="str">
        <f t="shared" si="236"/>
        <v>-</v>
      </c>
      <c r="AF75" s="595" t="str">
        <f t="shared" si="236"/>
        <v>-</v>
      </c>
      <c r="AG75" s="595" t="str">
        <f t="shared" si="236"/>
        <v>-</v>
      </c>
      <c r="AH75" s="596" t="str">
        <f t="shared" si="236"/>
        <v>-</v>
      </c>
      <c r="AI75" s="593">
        <f t="shared" si="86"/>
        <v>0.30092592592592593</v>
      </c>
      <c r="AJ75" s="594">
        <f t="shared" si="87"/>
        <v>0.26620370370370366</v>
      </c>
      <c r="AK75" s="594">
        <f t="shared" si="88"/>
        <v>0.23148148148148148</v>
      </c>
      <c r="AL75" s="594">
        <f t="shared" si="89"/>
        <v>0.19675925925925927</v>
      </c>
      <c r="AM75" s="595">
        <f t="shared" si="90"/>
        <v>0.16203703703703703</v>
      </c>
      <c r="AN75" s="595">
        <f t="shared" si="91"/>
        <v>0.1273148148148148</v>
      </c>
      <c r="AO75" s="595">
        <f t="shared" si="92"/>
        <v>9.2592592592592601E-2</v>
      </c>
      <c r="AP75" s="595" t="str">
        <f t="shared" si="93"/>
        <v>-</v>
      </c>
      <c r="AQ75" s="595" t="str">
        <f t="shared" si="94"/>
        <v>-</v>
      </c>
      <c r="AR75" s="595" t="str">
        <f t="shared" si="95"/>
        <v>-</v>
      </c>
      <c r="AS75" s="594" t="str">
        <f t="shared" si="96"/>
        <v>-</v>
      </c>
      <c r="AT75" s="594" t="str">
        <f t="shared" si="97"/>
        <v>-</v>
      </c>
      <c r="AU75" s="594" t="str">
        <f t="shared" si="98"/>
        <v>-</v>
      </c>
      <c r="AV75" s="595" t="str">
        <f t="shared" si="99"/>
        <v>-</v>
      </c>
      <c r="AW75" s="595" t="str">
        <f t="shared" si="100"/>
        <v>-</v>
      </c>
      <c r="AX75" s="595" t="str">
        <f t="shared" si="101"/>
        <v>-</v>
      </c>
      <c r="AY75" s="595" t="str">
        <f t="shared" si="102"/>
        <v>-</v>
      </c>
      <c r="AZ75" s="595" t="str">
        <f t="shared" si="103"/>
        <v>-</v>
      </c>
      <c r="BA75" s="595" t="str">
        <f t="shared" si="104"/>
        <v>-</v>
      </c>
      <c r="BB75" s="595" t="str">
        <f t="shared" si="105"/>
        <v>-</v>
      </c>
      <c r="BC75" s="598" t="str">
        <f t="shared" si="106"/>
        <v>-</v>
      </c>
    </row>
    <row r="76" spans="1:55" x14ac:dyDescent="0.25">
      <c r="A76" s="851"/>
      <c r="B76" s="599" t="s">
        <v>10</v>
      </c>
      <c r="C76" s="600">
        <v>2</v>
      </c>
      <c r="D76" s="601">
        <v>12</v>
      </c>
      <c r="E76" s="602">
        <v>16</v>
      </c>
      <c r="F76" s="602">
        <v>400</v>
      </c>
      <c r="G76" s="602">
        <v>30</v>
      </c>
      <c r="H76" s="602">
        <v>72</v>
      </c>
      <c r="I76" s="599">
        <v>3</v>
      </c>
      <c r="J76" s="599">
        <v>3.4</v>
      </c>
      <c r="K76" s="600"/>
      <c r="L76" s="603">
        <f t="shared" si="233"/>
        <v>8.8235294117647065</v>
      </c>
      <c r="M76" s="604">
        <f t="shared" si="183"/>
        <v>0.73529411764705888</v>
      </c>
      <c r="N76" s="605">
        <f t="shared" si="235"/>
        <v>4.7058823529411766</v>
      </c>
      <c r="O76" s="606">
        <f t="shared" si="235"/>
        <v>4.2647058823529411</v>
      </c>
      <c r="P76" s="606">
        <f t="shared" si="235"/>
        <v>3.8235294117647061</v>
      </c>
      <c r="Q76" s="606">
        <f t="shared" si="235"/>
        <v>3.3823529411764706</v>
      </c>
      <c r="R76" s="606">
        <f t="shared" si="235"/>
        <v>2.9411764705882355</v>
      </c>
      <c r="S76" s="607">
        <f t="shared" si="235"/>
        <v>2.5</v>
      </c>
      <c r="T76" s="608">
        <f t="shared" si="235"/>
        <v>2.0588235294117649</v>
      </c>
      <c r="U76" s="608">
        <f t="shared" si="235"/>
        <v>1.6176470588235294</v>
      </c>
      <c r="V76" s="608">
        <f t="shared" si="235"/>
        <v>1.1764705882352942</v>
      </c>
      <c r="W76" s="609" t="str">
        <f t="shared" si="235"/>
        <v>-</v>
      </c>
      <c r="X76" s="606" t="str">
        <f t="shared" si="236"/>
        <v>-</v>
      </c>
      <c r="Y76" s="606" t="str">
        <f t="shared" si="236"/>
        <v>-</v>
      </c>
      <c r="Z76" s="610" t="str">
        <f t="shared" si="236"/>
        <v>-</v>
      </c>
      <c r="AA76" s="606" t="str">
        <f t="shared" si="236"/>
        <v>-</v>
      </c>
      <c r="AB76" s="606" t="str">
        <f t="shared" si="236"/>
        <v>-</v>
      </c>
      <c r="AC76" s="606" t="str">
        <f t="shared" si="236"/>
        <v>-</v>
      </c>
      <c r="AD76" s="606" t="str">
        <f t="shared" si="236"/>
        <v>-</v>
      </c>
      <c r="AE76" s="607" t="str">
        <f t="shared" si="236"/>
        <v>-</v>
      </c>
      <c r="AF76" s="608" t="str">
        <f t="shared" si="236"/>
        <v>-</v>
      </c>
      <c r="AG76" s="608" t="str">
        <f t="shared" si="236"/>
        <v>-</v>
      </c>
      <c r="AH76" s="609" t="str">
        <f t="shared" si="236"/>
        <v>-</v>
      </c>
      <c r="AI76" s="605">
        <f t="shared" si="86"/>
        <v>0.39215686274509803</v>
      </c>
      <c r="AJ76" s="606">
        <f t="shared" si="87"/>
        <v>0.35539215686274511</v>
      </c>
      <c r="AK76" s="606">
        <f t="shared" si="88"/>
        <v>0.31862745098039219</v>
      </c>
      <c r="AL76" s="606">
        <f t="shared" si="89"/>
        <v>0.28186274509803921</v>
      </c>
      <c r="AM76" s="606">
        <f t="shared" si="90"/>
        <v>0.24509803921568629</v>
      </c>
      <c r="AN76" s="608">
        <f t="shared" si="91"/>
        <v>0.20833333333333334</v>
      </c>
      <c r="AO76" s="608">
        <f t="shared" si="92"/>
        <v>0.17156862745098042</v>
      </c>
      <c r="AP76" s="608">
        <f t="shared" si="93"/>
        <v>0.13480392156862744</v>
      </c>
      <c r="AQ76" s="608">
        <f t="shared" si="94"/>
        <v>9.8039215686274508E-2</v>
      </c>
      <c r="AR76" s="608" t="str">
        <f t="shared" si="95"/>
        <v>-</v>
      </c>
      <c r="AS76" s="606" t="str">
        <f t="shared" si="96"/>
        <v>-</v>
      </c>
      <c r="AT76" s="606" t="str">
        <f t="shared" si="97"/>
        <v>-</v>
      </c>
      <c r="AU76" s="606" t="str">
        <f t="shared" si="98"/>
        <v>-</v>
      </c>
      <c r="AV76" s="606" t="str">
        <f t="shared" si="99"/>
        <v>-</v>
      </c>
      <c r="AW76" s="608" t="str">
        <f t="shared" si="100"/>
        <v>-</v>
      </c>
      <c r="AX76" s="608" t="str">
        <f t="shared" si="101"/>
        <v>-</v>
      </c>
      <c r="AY76" s="608" t="str">
        <f t="shared" si="102"/>
        <v>-</v>
      </c>
      <c r="AZ76" s="608" t="str">
        <f t="shared" si="103"/>
        <v>-</v>
      </c>
      <c r="BA76" s="608" t="str">
        <f t="shared" si="104"/>
        <v>-</v>
      </c>
      <c r="BB76" s="608" t="str">
        <f t="shared" si="105"/>
        <v>-</v>
      </c>
      <c r="BC76" s="611" t="str">
        <f t="shared" si="106"/>
        <v>-</v>
      </c>
    </row>
    <row r="77" spans="1:55" ht="15.75" thickBot="1" x14ac:dyDescent="0.3">
      <c r="A77" s="852"/>
      <c r="B77" s="612" t="s">
        <v>11</v>
      </c>
      <c r="C77" s="613">
        <v>3</v>
      </c>
      <c r="D77" s="614">
        <v>12</v>
      </c>
      <c r="E77" s="615">
        <v>18</v>
      </c>
      <c r="F77" s="615">
        <v>500</v>
      </c>
      <c r="G77" s="615">
        <v>30</v>
      </c>
      <c r="H77" s="615">
        <v>86</v>
      </c>
      <c r="I77" s="612">
        <v>3</v>
      </c>
      <c r="J77" s="612">
        <v>3.2</v>
      </c>
      <c r="K77" s="613"/>
      <c r="L77" s="616">
        <f t="shared" si="233"/>
        <v>9.375</v>
      </c>
      <c r="M77" s="617">
        <f t="shared" si="183"/>
        <v>0.78125</v>
      </c>
      <c r="N77" s="618">
        <f t="shared" si="235"/>
        <v>5.625</v>
      </c>
      <c r="O77" s="619">
        <f t="shared" si="235"/>
        <v>5.15625</v>
      </c>
      <c r="P77" s="619">
        <f t="shared" si="235"/>
        <v>4.6875</v>
      </c>
      <c r="Q77" s="619">
        <f t="shared" si="235"/>
        <v>4.21875</v>
      </c>
      <c r="R77" s="619">
        <f t="shared" si="235"/>
        <v>3.75</v>
      </c>
      <c r="S77" s="619">
        <f t="shared" si="235"/>
        <v>3.28125</v>
      </c>
      <c r="T77" s="620">
        <f t="shared" si="235"/>
        <v>2.8125</v>
      </c>
      <c r="U77" s="620">
        <f t="shared" si="235"/>
        <v>2.34375</v>
      </c>
      <c r="V77" s="620">
        <f t="shared" si="235"/>
        <v>1.875</v>
      </c>
      <c r="W77" s="621">
        <f t="shared" si="235"/>
        <v>1.40625</v>
      </c>
      <c r="X77" s="619">
        <f t="shared" si="236"/>
        <v>0.9375</v>
      </c>
      <c r="Y77" s="619" t="str">
        <f t="shared" si="236"/>
        <v>-</v>
      </c>
      <c r="Z77" s="622" t="str">
        <f t="shared" si="236"/>
        <v>-</v>
      </c>
      <c r="AA77" s="619" t="str">
        <f t="shared" si="236"/>
        <v>-</v>
      </c>
      <c r="AB77" s="619" t="str">
        <f t="shared" si="236"/>
        <v>-</v>
      </c>
      <c r="AC77" s="619" t="str">
        <f t="shared" si="236"/>
        <v>-</v>
      </c>
      <c r="AD77" s="619" t="str">
        <f t="shared" si="236"/>
        <v>-</v>
      </c>
      <c r="AE77" s="619" t="str">
        <f t="shared" si="236"/>
        <v>-</v>
      </c>
      <c r="AF77" s="620" t="str">
        <f t="shared" si="236"/>
        <v>-</v>
      </c>
      <c r="AG77" s="620" t="str">
        <f t="shared" si="236"/>
        <v>-</v>
      </c>
      <c r="AH77" s="621" t="str">
        <f t="shared" si="236"/>
        <v>-</v>
      </c>
      <c r="AI77" s="618">
        <f t="shared" si="86"/>
        <v>0.46875</v>
      </c>
      <c r="AJ77" s="619">
        <f t="shared" si="87"/>
        <v>0.4296875</v>
      </c>
      <c r="AK77" s="619">
        <f t="shared" si="88"/>
        <v>0.390625</v>
      </c>
      <c r="AL77" s="619">
        <f t="shared" si="89"/>
        <v>0.3515625</v>
      </c>
      <c r="AM77" s="619">
        <f t="shared" si="90"/>
        <v>0.3125</v>
      </c>
      <c r="AN77" s="619">
        <f t="shared" si="91"/>
        <v>0.2734375</v>
      </c>
      <c r="AO77" s="620">
        <f t="shared" si="92"/>
        <v>0.234375</v>
      </c>
      <c r="AP77" s="620">
        <f t="shared" si="93"/>
        <v>0.1953125</v>
      </c>
      <c r="AQ77" s="620">
        <f t="shared" si="94"/>
        <v>0.15625</v>
      </c>
      <c r="AR77" s="620">
        <f t="shared" si="95"/>
        <v>0.1171875</v>
      </c>
      <c r="AS77" s="619">
        <f t="shared" si="96"/>
        <v>7.8125E-2</v>
      </c>
      <c r="AT77" s="619" t="str">
        <f t="shared" si="97"/>
        <v>-</v>
      </c>
      <c r="AU77" s="619" t="str">
        <f t="shared" si="98"/>
        <v>-</v>
      </c>
      <c r="AV77" s="619" t="str">
        <f t="shared" si="99"/>
        <v>-</v>
      </c>
      <c r="AW77" s="619" t="str">
        <f t="shared" si="100"/>
        <v>-</v>
      </c>
      <c r="AX77" s="620" t="str">
        <f t="shared" si="101"/>
        <v>-</v>
      </c>
      <c r="AY77" s="620" t="str">
        <f t="shared" si="102"/>
        <v>-</v>
      </c>
      <c r="AZ77" s="620" t="str">
        <f t="shared" si="103"/>
        <v>-</v>
      </c>
      <c r="BA77" s="620" t="str">
        <f t="shared" si="104"/>
        <v>-</v>
      </c>
      <c r="BB77" s="620" t="str">
        <f t="shared" si="105"/>
        <v>-</v>
      </c>
      <c r="BC77" s="623" t="str">
        <f t="shared" si="106"/>
        <v>-</v>
      </c>
    </row>
    <row r="78" spans="1:55" x14ac:dyDescent="0.25">
      <c r="A78" s="850" t="s">
        <v>34</v>
      </c>
      <c r="B78" s="587" t="s">
        <v>9</v>
      </c>
      <c r="C78" s="588">
        <v>4</v>
      </c>
      <c r="D78" s="589">
        <v>12</v>
      </c>
      <c r="E78" s="590">
        <v>18</v>
      </c>
      <c r="F78" s="590">
        <v>700</v>
      </c>
      <c r="G78" s="590">
        <v>44</v>
      </c>
      <c r="H78" s="590">
        <v>120</v>
      </c>
      <c r="I78" s="587">
        <v>2</v>
      </c>
      <c r="J78" s="587">
        <v>3.2</v>
      </c>
      <c r="K78" s="588"/>
      <c r="L78" s="591">
        <f t="shared" si="233"/>
        <v>13.75</v>
      </c>
      <c r="M78" s="592">
        <f t="shared" si="183"/>
        <v>1.1458333333333333</v>
      </c>
      <c r="N78" s="593">
        <f t="shared" si="235"/>
        <v>5.625</v>
      </c>
      <c r="O78" s="594">
        <f t="shared" si="235"/>
        <v>5.3125</v>
      </c>
      <c r="P78" s="594">
        <f t="shared" si="235"/>
        <v>5</v>
      </c>
      <c r="Q78" s="594">
        <f t="shared" si="235"/>
        <v>4.6875</v>
      </c>
      <c r="R78" s="594">
        <f t="shared" si="235"/>
        <v>4.375</v>
      </c>
      <c r="S78" s="594">
        <f t="shared" si="235"/>
        <v>4.0625</v>
      </c>
      <c r="T78" s="594">
        <f t="shared" si="235"/>
        <v>3.75</v>
      </c>
      <c r="U78" s="595">
        <f t="shared" si="235"/>
        <v>3.4375</v>
      </c>
      <c r="V78" s="595">
        <f t="shared" si="235"/>
        <v>3.125</v>
      </c>
      <c r="W78" s="596">
        <f t="shared" si="235"/>
        <v>2.8125</v>
      </c>
      <c r="X78" s="594">
        <f t="shared" si="236"/>
        <v>2.5</v>
      </c>
      <c r="Y78" s="594">
        <f t="shared" si="236"/>
        <v>2.1875</v>
      </c>
      <c r="Z78" s="597">
        <f t="shared" si="236"/>
        <v>1.875</v>
      </c>
      <c r="AA78" s="594">
        <f t="shared" si="236"/>
        <v>1.5625</v>
      </c>
      <c r="AB78" s="594">
        <f t="shared" si="236"/>
        <v>1.25</v>
      </c>
      <c r="AC78" s="594" t="str">
        <f t="shared" si="236"/>
        <v>-</v>
      </c>
      <c r="AD78" s="594" t="str">
        <f t="shared" si="236"/>
        <v>-</v>
      </c>
      <c r="AE78" s="594" t="str">
        <f t="shared" si="236"/>
        <v>-</v>
      </c>
      <c r="AF78" s="594" t="str">
        <f t="shared" si="236"/>
        <v>-</v>
      </c>
      <c r="AG78" s="595" t="str">
        <f t="shared" si="236"/>
        <v>-</v>
      </c>
      <c r="AH78" s="596" t="str">
        <f t="shared" si="236"/>
        <v>-</v>
      </c>
      <c r="AI78" s="593">
        <f t="shared" si="86"/>
        <v>0.46875</v>
      </c>
      <c r="AJ78" s="594">
        <f t="shared" si="87"/>
        <v>0.44270833333333331</v>
      </c>
      <c r="AK78" s="594">
        <f t="shared" si="88"/>
        <v>0.41666666666666669</v>
      </c>
      <c r="AL78" s="594">
        <f t="shared" si="89"/>
        <v>0.390625</v>
      </c>
      <c r="AM78" s="594">
        <f t="shared" si="90"/>
        <v>0.36458333333333331</v>
      </c>
      <c r="AN78" s="594">
        <f t="shared" si="91"/>
        <v>0.33854166666666669</v>
      </c>
      <c r="AO78" s="594">
        <f t="shared" si="92"/>
        <v>0.3125</v>
      </c>
      <c r="AP78" s="595">
        <f t="shared" si="93"/>
        <v>0.28645833333333331</v>
      </c>
      <c r="AQ78" s="595">
        <f t="shared" si="94"/>
        <v>0.26041666666666669</v>
      </c>
      <c r="AR78" s="595">
        <f t="shared" si="95"/>
        <v>0.234375</v>
      </c>
      <c r="AS78" s="594">
        <f t="shared" si="96"/>
        <v>0.20833333333333334</v>
      </c>
      <c r="AT78" s="594">
        <f t="shared" si="97"/>
        <v>0.18229166666666666</v>
      </c>
      <c r="AU78" s="594">
        <f t="shared" si="98"/>
        <v>0.15625</v>
      </c>
      <c r="AV78" s="594">
        <f t="shared" si="99"/>
        <v>0.13020833333333334</v>
      </c>
      <c r="AW78" s="594">
        <f t="shared" si="100"/>
        <v>0.10416666666666667</v>
      </c>
      <c r="AX78" s="594" t="str">
        <f t="shared" si="101"/>
        <v>-</v>
      </c>
      <c r="AY78" s="595" t="str">
        <f t="shared" si="102"/>
        <v>-</v>
      </c>
      <c r="AZ78" s="595" t="str">
        <f t="shared" si="103"/>
        <v>-</v>
      </c>
      <c r="BA78" s="595" t="str">
        <f t="shared" si="104"/>
        <v>-</v>
      </c>
      <c r="BB78" s="595" t="str">
        <f t="shared" si="105"/>
        <v>-</v>
      </c>
      <c r="BC78" s="598" t="str">
        <f t="shared" si="106"/>
        <v>-</v>
      </c>
    </row>
    <row r="79" spans="1:55" x14ac:dyDescent="0.25">
      <c r="A79" s="851"/>
      <c r="B79" s="599" t="s">
        <v>10</v>
      </c>
      <c r="C79" s="600">
        <v>5</v>
      </c>
      <c r="D79" s="601">
        <v>12</v>
      </c>
      <c r="E79" s="602">
        <v>22</v>
      </c>
      <c r="F79" s="602">
        <v>800</v>
      </c>
      <c r="G79" s="602">
        <v>44</v>
      </c>
      <c r="H79" s="602">
        <v>160</v>
      </c>
      <c r="I79" s="599">
        <v>2</v>
      </c>
      <c r="J79" s="599">
        <v>3.2</v>
      </c>
      <c r="K79" s="600"/>
      <c r="L79" s="603">
        <f t="shared" si="233"/>
        <v>13.75</v>
      </c>
      <c r="M79" s="604">
        <f t="shared" si="183"/>
        <v>1.1458333333333333</v>
      </c>
      <c r="N79" s="605">
        <f t="shared" si="235"/>
        <v>6.875</v>
      </c>
      <c r="O79" s="606">
        <f t="shared" si="235"/>
        <v>6.5625</v>
      </c>
      <c r="P79" s="606">
        <f t="shared" si="235"/>
        <v>6.25</v>
      </c>
      <c r="Q79" s="606">
        <f t="shared" si="235"/>
        <v>5.9375</v>
      </c>
      <c r="R79" s="606">
        <f t="shared" si="235"/>
        <v>5.625</v>
      </c>
      <c r="S79" s="606">
        <f t="shared" si="235"/>
        <v>5.3125</v>
      </c>
      <c r="T79" s="606">
        <f t="shared" si="235"/>
        <v>5</v>
      </c>
      <c r="U79" s="606">
        <f t="shared" si="235"/>
        <v>4.6875</v>
      </c>
      <c r="V79" s="608">
        <f t="shared" si="235"/>
        <v>4.375</v>
      </c>
      <c r="W79" s="609">
        <f t="shared" si="235"/>
        <v>4.0625</v>
      </c>
      <c r="X79" s="606">
        <f t="shared" si="236"/>
        <v>3.75</v>
      </c>
      <c r="Y79" s="606">
        <f t="shared" si="236"/>
        <v>3.4375</v>
      </c>
      <c r="Z79" s="610">
        <f t="shared" si="236"/>
        <v>3.125</v>
      </c>
      <c r="AA79" s="606">
        <f t="shared" si="236"/>
        <v>2.8125</v>
      </c>
      <c r="AB79" s="606">
        <f t="shared" si="236"/>
        <v>2.5</v>
      </c>
      <c r="AC79" s="606">
        <f t="shared" si="236"/>
        <v>2.1875</v>
      </c>
      <c r="AD79" s="606">
        <f t="shared" si="236"/>
        <v>1.875</v>
      </c>
      <c r="AE79" s="606" t="str">
        <f t="shared" si="236"/>
        <v>-</v>
      </c>
      <c r="AF79" s="606" t="str">
        <f t="shared" si="236"/>
        <v>-</v>
      </c>
      <c r="AG79" s="606" t="str">
        <f t="shared" si="236"/>
        <v>-</v>
      </c>
      <c r="AH79" s="609" t="str">
        <f t="shared" si="236"/>
        <v>-</v>
      </c>
      <c r="AI79" s="605">
        <f t="shared" si="86"/>
        <v>0.57291666666666663</v>
      </c>
      <c r="AJ79" s="606">
        <f t="shared" si="87"/>
        <v>0.546875</v>
      </c>
      <c r="AK79" s="606">
        <f t="shared" si="88"/>
        <v>0.52083333333333337</v>
      </c>
      <c r="AL79" s="606">
        <f t="shared" si="89"/>
        <v>0.49479166666666669</v>
      </c>
      <c r="AM79" s="606">
        <f t="shared" si="90"/>
        <v>0.46875</v>
      </c>
      <c r="AN79" s="606">
        <f t="shared" si="91"/>
        <v>0.44270833333333331</v>
      </c>
      <c r="AO79" s="606">
        <f t="shared" si="92"/>
        <v>0.41666666666666669</v>
      </c>
      <c r="AP79" s="606">
        <f t="shared" si="93"/>
        <v>0.390625</v>
      </c>
      <c r="AQ79" s="608">
        <f t="shared" si="94"/>
        <v>0.36458333333333331</v>
      </c>
      <c r="AR79" s="608">
        <f t="shared" si="95"/>
        <v>0.33854166666666669</v>
      </c>
      <c r="AS79" s="606">
        <f t="shared" si="96"/>
        <v>0.3125</v>
      </c>
      <c r="AT79" s="606">
        <f t="shared" si="97"/>
        <v>0.28645833333333331</v>
      </c>
      <c r="AU79" s="606">
        <f t="shared" si="98"/>
        <v>0.26041666666666669</v>
      </c>
      <c r="AV79" s="606">
        <f t="shared" si="99"/>
        <v>0.234375</v>
      </c>
      <c r="AW79" s="606">
        <f t="shared" si="100"/>
        <v>0.20833333333333334</v>
      </c>
      <c r="AX79" s="606">
        <f t="shared" si="101"/>
        <v>0.18229166666666666</v>
      </c>
      <c r="AY79" s="606">
        <f t="shared" si="102"/>
        <v>0.15625</v>
      </c>
      <c r="AZ79" s="608" t="str">
        <f t="shared" si="103"/>
        <v>-</v>
      </c>
      <c r="BA79" s="608" t="str">
        <f t="shared" si="104"/>
        <v>-</v>
      </c>
      <c r="BB79" s="608" t="str">
        <f t="shared" si="105"/>
        <v>-</v>
      </c>
      <c r="BC79" s="611" t="str">
        <f t="shared" si="106"/>
        <v>-</v>
      </c>
    </row>
    <row r="80" spans="1:55" ht="15.75" thickBot="1" x14ac:dyDescent="0.3">
      <c r="A80" s="852"/>
      <c r="B80" s="612" t="s">
        <v>11</v>
      </c>
      <c r="C80" s="613">
        <v>6</v>
      </c>
      <c r="D80" s="614">
        <v>12</v>
      </c>
      <c r="E80" s="615">
        <v>28</v>
      </c>
      <c r="F80" s="615">
        <v>900</v>
      </c>
      <c r="G80" s="615">
        <v>44</v>
      </c>
      <c r="H80" s="615">
        <v>200</v>
      </c>
      <c r="I80" s="612">
        <v>2</v>
      </c>
      <c r="J80" s="612">
        <v>3.2</v>
      </c>
      <c r="K80" s="613"/>
      <c r="L80" s="616">
        <f t="shared" si="233"/>
        <v>13.75</v>
      </c>
      <c r="M80" s="617">
        <f t="shared" si="183"/>
        <v>1.1458333333333333</v>
      </c>
      <c r="N80" s="618">
        <f t="shared" si="235"/>
        <v>8.75</v>
      </c>
      <c r="O80" s="619">
        <f t="shared" si="235"/>
        <v>8.4375</v>
      </c>
      <c r="P80" s="619">
        <f t="shared" si="235"/>
        <v>8.125</v>
      </c>
      <c r="Q80" s="619">
        <f t="shared" si="235"/>
        <v>7.8125</v>
      </c>
      <c r="R80" s="619">
        <f t="shared" si="235"/>
        <v>7.5</v>
      </c>
      <c r="S80" s="619">
        <f t="shared" si="235"/>
        <v>7.1875</v>
      </c>
      <c r="T80" s="619">
        <f t="shared" si="235"/>
        <v>6.875</v>
      </c>
      <c r="U80" s="619">
        <f t="shared" si="235"/>
        <v>6.5625</v>
      </c>
      <c r="V80" s="619">
        <f t="shared" si="235"/>
        <v>6.25</v>
      </c>
      <c r="W80" s="624">
        <f t="shared" si="235"/>
        <v>5.9375</v>
      </c>
      <c r="X80" s="619">
        <f t="shared" si="236"/>
        <v>5.625</v>
      </c>
      <c r="Y80" s="619">
        <f t="shared" si="236"/>
        <v>5.3125</v>
      </c>
      <c r="Z80" s="622">
        <f t="shared" si="236"/>
        <v>5</v>
      </c>
      <c r="AA80" s="619">
        <f t="shared" si="236"/>
        <v>4.6875</v>
      </c>
      <c r="AB80" s="619">
        <f t="shared" si="236"/>
        <v>4.375</v>
      </c>
      <c r="AC80" s="619">
        <f t="shared" si="236"/>
        <v>4.0625</v>
      </c>
      <c r="AD80" s="619">
        <f t="shared" si="236"/>
        <v>3.75</v>
      </c>
      <c r="AE80" s="619">
        <f t="shared" si="236"/>
        <v>3.4375</v>
      </c>
      <c r="AF80" s="619">
        <f t="shared" si="236"/>
        <v>3.125</v>
      </c>
      <c r="AG80" s="619" t="str">
        <f t="shared" si="236"/>
        <v>-</v>
      </c>
      <c r="AH80" s="624" t="str">
        <f t="shared" si="236"/>
        <v>-</v>
      </c>
      <c r="AI80" s="618">
        <f t="shared" si="86"/>
        <v>0.72916666666666663</v>
      </c>
      <c r="AJ80" s="619">
        <f t="shared" si="87"/>
        <v>0.703125</v>
      </c>
      <c r="AK80" s="619">
        <f t="shared" si="88"/>
        <v>0.67708333333333337</v>
      </c>
      <c r="AL80" s="619">
        <f t="shared" si="89"/>
        <v>0.65104166666666663</v>
      </c>
      <c r="AM80" s="619">
        <f t="shared" si="90"/>
        <v>0.625</v>
      </c>
      <c r="AN80" s="619">
        <f t="shared" si="91"/>
        <v>0.59895833333333337</v>
      </c>
      <c r="AO80" s="619">
        <f t="shared" si="92"/>
        <v>0.57291666666666663</v>
      </c>
      <c r="AP80" s="619">
        <f t="shared" si="93"/>
        <v>0.546875</v>
      </c>
      <c r="AQ80" s="619">
        <f t="shared" si="94"/>
        <v>0.52083333333333337</v>
      </c>
      <c r="AR80" s="619">
        <f t="shared" si="95"/>
        <v>0.49479166666666669</v>
      </c>
      <c r="AS80" s="619">
        <f t="shared" si="96"/>
        <v>0.46875</v>
      </c>
      <c r="AT80" s="619">
        <f t="shared" si="97"/>
        <v>0.44270833333333331</v>
      </c>
      <c r="AU80" s="619">
        <f t="shared" si="98"/>
        <v>0.41666666666666669</v>
      </c>
      <c r="AV80" s="619">
        <f t="shared" si="99"/>
        <v>0.390625</v>
      </c>
      <c r="AW80" s="619">
        <f t="shared" si="100"/>
        <v>0.36458333333333331</v>
      </c>
      <c r="AX80" s="619">
        <f t="shared" si="101"/>
        <v>0.33854166666666669</v>
      </c>
      <c r="AY80" s="619">
        <f t="shared" si="102"/>
        <v>0.3125</v>
      </c>
      <c r="AZ80" s="619">
        <f t="shared" si="103"/>
        <v>0.28645833333333331</v>
      </c>
      <c r="BA80" s="619">
        <f t="shared" si="104"/>
        <v>0.26041666666666669</v>
      </c>
      <c r="BB80" s="619" t="str">
        <f t="shared" si="105"/>
        <v>-</v>
      </c>
      <c r="BC80" s="623" t="str">
        <f t="shared" si="106"/>
        <v>-</v>
      </c>
    </row>
    <row r="81" spans="1:55" x14ac:dyDescent="0.25">
      <c r="A81" s="842" t="s">
        <v>201</v>
      </c>
      <c r="B81" s="625" t="s">
        <v>9</v>
      </c>
      <c r="C81" s="626">
        <v>7</v>
      </c>
      <c r="D81" s="787">
        <v>12</v>
      </c>
      <c r="E81" s="627">
        <v>38</v>
      </c>
      <c r="F81" s="627">
        <v>1000</v>
      </c>
      <c r="G81" s="627">
        <v>48</v>
      </c>
      <c r="H81" s="627">
        <v>240</v>
      </c>
      <c r="I81" s="625">
        <v>1</v>
      </c>
      <c r="J81" s="625">
        <v>3.2</v>
      </c>
      <c r="K81" s="626"/>
      <c r="L81" s="628">
        <f t="shared" si="233"/>
        <v>15</v>
      </c>
      <c r="M81" s="629">
        <f t="shared" si="183"/>
        <v>1.25</v>
      </c>
      <c r="N81" s="630">
        <f t="shared" si="235"/>
        <v>11.875</v>
      </c>
      <c r="O81" s="631">
        <f t="shared" si="235"/>
        <v>11.71875</v>
      </c>
      <c r="P81" s="631">
        <f t="shared" si="235"/>
        <v>11.5625</v>
      </c>
      <c r="Q81" s="631">
        <f t="shared" si="235"/>
        <v>11.40625</v>
      </c>
      <c r="R81" s="631">
        <f t="shared" si="235"/>
        <v>11.25</v>
      </c>
      <c r="S81" s="632">
        <f t="shared" si="235"/>
        <v>11.09375</v>
      </c>
      <c r="T81" s="632">
        <f t="shared" si="235"/>
        <v>10.9375</v>
      </c>
      <c r="U81" s="632">
        <f t="shared" si="235"/>
        <v>10.78125</v>
      </c>
      <c r="V81" s="632">
        <f t="shared" si="235"/>
        <v>10.625</v>
      </c>
      <c r="W81" s="633">
        <f t="shared" si="235"/>
        <v>10.46875</v>
      </c>
      <c r="X81" s="631">
        <f t="shared" si="236"/>
        <v>10.3125</v>
      </c>
      <c r="Y81" s="631">
        <f t="shared" si="236"/>
        <v>10.15625</v>
      </c>
      <c r="Z81" s="634">
        <f t="shared" si="236"/>
        <v>10</v>
      </c>
      <c r="AA81" s="631">
        <f t="shared" si="236"/>
        <v>9.84375</v>
      </c>
      <c r="AB81" s="631">
        <f t="shared" si="236"/>
        <v>9.6875</v>
      </c>
      <c r="AC81" s="631">
        <f t="shared" si="236"/>
        <v>9.53125</v>
      </c>
      <c r="AD81" s="631">
        <f t="shared" si="236"/>
        <v>9.375</v>
      </c>
      <c r="AE81" s="632">
        <f t="shared" si="236"/>
        <v>9.21875</v>
      </c>
      <c r="AF81" s="632">
        <f t="shared" si="236"/>
        <v>9.0625</v>
      </c>
      <c r="AG81" s="632">
        <f t="shared" si="236"/>
        <v>8.90625</v>
      </c>
      <c r="AH81" s="633">
        <f t="shared" si="236"/>
        <v>8.75</v>
      </c>
      <c r="AI81" s="630">
        <f t="shared" si="86"/>
        <v>0.98958333333333337</v>
      </c>
      <c r="AJ81" s="631">
        <f t="shared" si="87"/>
        <v>0.9765625</v>
      </c>
      <c r="AK81" s="631">
        <f t="shared" si="88"/>
        <v>0.96354166666666663</v>
      </c>
      <c r="AL81" s="631">
        <f t="shared" si="89"/>
        <v>0.95052083333333337</v>
      </c>
      <c r="AM81" s="631">
        <f t="shared" si="90"/>
        <v>0.9375</v>
      </c>
      <c r="AN81" s="632">
        <f t="shared" si="91"/>
        <v>0.92447916666666663</v>
      </c>
      <c r="AO81" s="632">
        <f t="shared" si="92"/>
        <v>0.91145833333333337</v>
      </c>
      <c r="AP81" s="632">
        <f t="shared" si="93"/>
        <v>0.8984375</v>
      </c>
      <c r="AQ81" s="632">
        <f t="shared" si="94"/>
        <v>0.88541666666666663</v>
      </c>
      <c r="AR81" s="632">
        <f t="shared" si="95"/>
        <v>0.87239583333333337</v>
      </c>
      <c r="AS81" s="631">
        <f t="shared" si="96"/>
        <v>0.859375</v>
      </c>
      <c r="AT81" s="631">
        <f t="shared" si="97"/>
        <v>0.84635416666666663</v>
      </c>
      <c r="AU81" s="631">
        <f t="shared" si="98"/>
        <v>0.83333333333333337</v>
      </c>
      <c r="AV81" s="631">
        <f t="shared" si="99"/>
        <v>0.8203125</v>
      </c>
      <c r="AW81" s="632">
        <f t="shared" si="100"/>
        <v>0.80729166666666663</v>
      </c>
      <c r="AX81" s="632">
        <f t="shared" si="101"/>
        <v>0.79427083333333337</v>
      </c>
      <c r="AY81" s="632">
        <f t="shared" si="102"/>
        <v>0.78125</v>
      </c>
      <c r="AZ81" s="632">
        <f t="shared" si="103"/>
        <v>0.76822916666666663</v>
      </c>
      <c r="BA81" s="632">
        <f t="shared" si="104"/>
        <v>0.75520833333333337</v>
      </c>
      <c r="BB81" s="632">
        <f t="shared" si="105"/>
        <v>0.7421875</v>
      </c>
      <c r="BC81" s="635">
        <f t="shared" si="106"/>
        <v>0.72916666666666663</v>
      </c>
    </row>
    <row r="82" spans="1:55" ht="15.75" thickBot="1" x14ac:dyDescent="0.3">
      <c r="A82" s="844"/>
      <c r="B82" s="612" t="s">
        <v>10</v>
      </c>
      <c r="C82" s="613">
        <v>8</v>
      </c>
      <c r="D82" s="614">
        <v>12</v>
      </c>
      <c r="E82" s="615">
        <v>48</v>
      </c>
      <c r="F82" s="615">
        <v>1100</v>
      </c>
      <c r="G82" s="615">
        <v>48</v>
      </c>
      <c r="H82" s="615">
        <v>280</v>
      </c>
      <c r="I82" s="612">
        <v>1</v>
      </c>
      <c r="J82" s="612">
        <v>3.2</v>
      </c>
      <c r="K82" s="613"/>
      <c r="L82" s="616">
        <f t="shared" si="233"/>
        <v>15</v>
      </c>
      <c r="M82" s="617">
        <f t="shared" ref="M82:M99" si="237">L82/D82</f>
        <v>1.25</v>
      </c>
      <c r="N82" s="618">
        <f t="shared" si="235"/>
        <v>15</v>
      </c>
      <c r="O82" s="619">
        <f t="shared" si="235"/>
        <v>14.84375</v>
      </c>
      <c r="P82" s="619">
        <f t="shared" si="235"/>
        <v>14.6875</v>
      </c>
      <c r="Q82" s="619">
        <f t="shared" si="235"/>
        <v>14.53125</v>
      </c>
      <c r="R82" s="619">
        <f t="shared" si="235"/>
        <v>14.375</v>
      </c>
      <c r="S82" s="620">
        <f t="shared" si="235"/>
        <v>14.21875</v>
      </c>
      <c r="T82" s="620">
        <f t="shared" si="235"/>
        <v>14.0625</v>
      </c>
      <c r="U82" s="620">
        <f t="shared" si="235"/>
        <v>13.90625</v>
      </c>
      <c r="V82" s="620">
        <f t="shared" si="235"/>
        <v>13.75</v>
      </c>
      <c r="W82" s="621">
        <f t="shared" si="235"/>
        <v>13.59375</v>
      </c>
      <c r="X82" s="619">
        <f t="shared" si="236"/>
        <v>13.4375</v>
      </c>
      <c r="Y82" s="619">
        <f t="shared" si="236"/>
        <v>13.28125</v>
      </c>
      <c r="Z82" s="622">
        <f t="shared" si="236"/>
        <v>13.125</v>
      </c>
      <c r="AA82" s="619">
        <f t="shared" si="236"/>
        <v>12.96875</v>
      </c>
      <c r="AB82" s="619">
        <f t="shared" si="236"/>
        <v>12.8125</v>
      </c>
      <c r="AC82" s="619">
        <f t="shared" si="236"/>
        <v>12.65625</v>
      </c>
      <c r="AD82" s="619">
        <f t="shared" si="236"/>
        <v>12.5</v>
      </c>
      <c r="AE82" s="620">
        <f t="shared" si="236"/>
        <v>12.34375</v>
      </c>
      <c r="AF82" s="620">
        <f t="shared" si="236"/>
        <v>12.1875</v>
      </c>
      <c r="AG82" s="620">
        <f t="shared" si="236"/>
        <v>12.03125</v>
      </c>
      <c r="AH82" s="621">
        <f t="shared" si="236"/>
        <v>11.875</v>
      </c>
      <c r="AI82" s="618">
        <f t="shared" ref="AI82" si="238">IF(N$2&lt;=$F82,N82/$D82,"-")</f>
        <v>1.25</v>
      </c>
      <c r="AJ82" s="619">
        <f t="shared" ref="AJ82" si="239">IF(O$2&lt;=$F82,O82/$D82,"-")</f>
        <v>1.2369791666666667</v>
      </c>
      <c r="AK82" s="619">
        <f t="shared" ref="AK82" si="240">IF(P$2&lt;=$F82,P82/$D82,"-")</f>
        <v>1.2239583333333333</v>
      </c>
      <c r="AL82" s="619">
        <f t="shared" ref="AL82" si="241">IF(Q$2&lt;=$F82,Q82/$D82,"-")</f>
        <v>1.2109375</v>
      </c>
      <c r="AM82" s="619">
        <f t="shared" ref="AM82" si="242">IF(R$2&lt;=$F82,R82/$D82,"-")</f>
        <v>1.1979166666666667</v>
      </c>
      <c r="AN82" s="620">
        <f t="shared" ref="AN82" si="243">IF(S$2&lt;=$F82,S82/$D82,"-")</f>
        <v>1.1848958333333333</v>
      </c>
      <c r="AO82" s="620">
        <f t="shared" ref="AO82" si="244">IF(T$2&lt;=$F82,T82/$D82,"-")</f>
        <v>1.171875</v>
      </c>
      <c r="AP82" s="620">
        <f t="shared" ref="AP82" si="245">IF(U$2&lt;=$F82,U82/$D82,"-")</f>
        <v>1.1588541666666667</v>
      </c>
      <c r="AQ82" s="620">
        <f t="shared" ref="AQ82" si="246">IF(V$2&lt;=$F82,V82/$D82,"-")</f>
        <v>1.1458333333333333</v>
      </c>
      <c r="AR82" s="620">
        <f t="shared" ref="AR82" si="247">IF(W$2&lt;=$F82,W82/$D82,"-")</f>
        <v>1.1328125</v>
      </c>
      <c r="AS82" s="619">
        <f t="shared" ref="AS82" si="248">IF(X$2&lt;=$F82,X82/$D82,"-")</f>
        <v>1.1197916666666667</v>
      </c>
      <c r="AT82" s="619">
        <f t="shared" ref="AT82" si="249">IF(Y$2&lt;=$F82,Y82/$D82,"-")</f>
        <v>1.1067708333333333</v>
      </c>
      <c r="AU82" s="619">
        <f t="shared" ref="AU82" si="250">IF(Z$2&lt;=$F82,Z82/$D82,"-")</f>
        <v>1.09375</v>
      </c>
      <c r="AV82" s="619">
        <f t="shared" ref="AV82" si="251">IF(AA$2&lt;=$F82,AA82/$D82,"-")</f>
        <v>1.0807291666666667</v>
      </c>
      <c r="AW82" s="620">
        <f t="shared" ref="AW82" si="252">IF(AB$2&lt;=$F82,AB82/$D82,"-")</f>
        <v>1.0677083333333333</v>
      </c>
      <c r="AX82" s="620">
        <f t="shared" ref="AX82" si="253">IF(AC$2&lt;=$F82,AC82/$D82,"-")</f>
        <v>1.0546875</v>
      </c>
      <c r="AY82" s="620">
        <f t="shared" ref="AY82" si="254">IF(AD$2&lt;=$F82,AD82/$D82,"-")</f>
        <v>1.0416666666666667</v>
      </c>
      <c r="AZ82" s="620">
        <f t="shared" ref="AZ82" si="255">IF(AE$2&lt;=$F82,AE82/$D82,"-")</f>
        <v>1.0286458333333333</v>
      </c>
      <c r="BA82" s="620">
        <f t="shared" ref="BA82" si="256">IF(AF$2&lt;=$F82,AF82/$D82,"-")</f>
        <v>1.015625</v>
      </c>
      <c r="BB82" s="620">
        <f t="shared" ref="BB82" si="257">IF(AG$2&lt;=$F82,AG82/$D82,"-")</f>
        <v>1.0026041666666667</v>
      </c>
      <c r="BC82" s="623">
        <f t="shared" ref="BC82" si="258">IF(AH$2&lt;=$F82,AH82/$D82,"-")</f>
        <v>0.98958333333333337</v>
      </c>
    </row>
    <row r="83" spans="1:55" x14ac:dyDescent="0.25">
      <c r="A83" s="850" t="s">
        <v>36</v>
      </c>
      <c r="B83" s="587" t="s">
        <v>9</v>
      </c>
      <c r="C83" s="588">
        <v>4</v>
      </c>
      <c r="D83" s="589">
        <v>12</v>
      </c>
      <c r="E83" s="590">
        <v>20</v>
      </c>
      <c r="F83" s="590">
        <v>550</v>
      </c>
      <c r="G83" s="590">
        <v>50</v>
      </c>
      <c r="H83" s="590">
        <v>100</v>
      </c>
      <c r="I83" s="587">
        <v>3</v>
      </c>
      <c r="J83" s="587">
        <v>3.4</v>
      </c>
      <c r="K83" s="588"/>
      <c r="L83" s="591">
        <f t="shared" si="233"/>
        <v>14.705882352941178</v>
      </c>
      <c r="M83" s="592">
        <f t="shared" si="237"/>
        <v>1.2254901960784315</v>
      </c>
      <c r="N83" s="593">
        <f t="shared" ref="N83:W92" si="259">IF(AND(N$2&lt;=$F83,($E83-$I83*N$2/100)/$J83&gt;0),($E83-$I83*N$2/100)/$J83,"-")</f>
        <v>5.882352941176471</v>
      </c>
      <c r="O83" s="594">
        <f t="shared" si="259"/>
        <v>5.4411764705882355</v>
      </c>
      <c r="P83" s="594">
        <f t="shared" si="259"/>
        <v>5</v>
      </c>
      <c r="Q83" s="594">
        <f t="shared" si="259"/>
        <v>4.5588235294117645</v>
      </c>
      <c r="R83" s="594">
        <f t="shared" si="259"/>
        <v>4.1176470588235299</v>
      </c>
      <c r="S83" s="594">
        <f t="shared" si="259"/>
        <v>3.6764705882352944</v>
      </c>
      <c r="T83" s="594">
        <f t="shared" si="259"/>
        <v>3.2352941176470589</v>
      </c>
      <c r="U83" s="595">
        <f t="shared" si="259"/>
        <v>2.7941176470588238</v>
      </c>
      <c r="V83" s="595">
        <f t="shared" si="259"/>
        <v>2.3529411764705883</v>
      </c>
      <c r="W83" s="596">
        <f t="shared" si="259"/>
        <v>1.911764705882353</v>
      </c>
      <c r="X83" s="594">
        <f t="shared" ref="X83:AH92" si="260">IF(AND(X$2&lt;=$F83,($E83-$I83*X$2/100)/$J83&gt;0),($E83-$I83*X$2/100)/$J83,"-")</f>
        <v>1.4705882352941178</v>
      </c>
      <c r="Y83" s="594">
        <f t="shared" si="260"/>
        <v>1.0294117647058825</v>
      </c>
      <c r="Z83" s="597" t="str">
        <f t="shared" si="260"/>
        <v>-</v>
      </c>
      <c r="AA83" s="594" t="str">
        <f t="shared" si="260"/>
        <v>-</v>
      </c>
      <c r="AB83" s="594" t="str">
        <f t="shared" si="260"/>
        <v>-</v>
      </c>
      <c r="AC83" s="594" t="str">
        <f t="shared" si="260"/>
        <v>-</v>
      </c>
      <c r="AD83" s="594" t="str">
        <f t="shared" si="260"/>
        <v>-</v>
      </c>
      <c r="AE83" s="594" t="str">
        <f t="shared" si="260"/>
        <v>-</v>
      </c>
      <c r="AF83" s="594" t="str">
        <f t="shared" si="260"/>
        <v>-</v>
      </c>
      <c r="AG83" s="595" t="str">
        <f t="shared" si="260"/>
        <v>-</v>
      </c>
      <c r="AH83" s="596" t="str">
        <f t="shared" si="260"/>
        <v>-</v>
      </c>
      <c r="AI83" s="593">
        <f t="shared" si="86"/>
        <v>0.49019607843137258</v>
      </c>
      <c r="AJ83" s="594">
        <f t="shared" si="87"/>
        <v>0.45343137254901961</v>
      </c>
      <c r="AK83" s="594">
        <f t="shared" si="88"/>
        <v>0.41666666666666669</v>
      </c>
      <c r="AL83" s="594">
        <f t="shared" si="89"/>
        <v>0.37990196078431371</v>
      </c>
      <c r="AM83" s="594">
        <f t="shared" si="90"/>
        <v>0.34313725490196084</v>
      </c>
      <c r="AN83" s="594">
        <f t="shared" si="91"/>
        <v>0.30637254901960786</v>
      </c>
      <c r="AO83" s="594">
        <f t="shared" si="92"/>
        <v>0.26960784313725489</v>
      </c>
      <c r="AP83" s="595">
        <f t="shared" si="93"/>
        <v>0.23284313725490199</v>
      </c>
      <c r="AQ83" s="595">
        <f t="shared" si="94"/>
        <v>0.19607843137254902</v>
      </c>
      <c r="AR83" s="595">
        <f t="shared" si="95"/>
        <v>0.1593137254901961</v>
      </c>
      <c r="AS83" s="594">
        <f t="shared" si="96"/>
        <v>0.12254901960784315</v>
      </c>
      <c r="AT83" s="594">
        <f t="shared" si="97"/>
        <v>8.5784313725490211E-2</v>
      </c>
      <c r="AU83" s="594" t="str">
        <f t="shared" si="98"/>
        <v>-</v>
      </c>
      <c r="AV83" s="594" t="str">
        <f t="shared" si="99"/>
        <v>-</v>
      </c>
      <c r="AW83" s="594" t="str">
        <f t="shared" si="100"/>
        <v>-</v>
      </c>
      <c r="AX83" s="594" t="str">
        <f t="shared" si="101"/>
        <v>-</v>
      </c>
      <c r="AY83" s="595" t="str">
        <f t="shared" si="102"/>
        <v>-</v>
      </c>
      <c r="AZ83" s="595" t="str">
        <f t="shared" si="103"/>
        <v>-</v>
      </c>
      <c r="BA83" s="595" t="str">
        <f t="shared" si="104"/>
        <v>-</v>
      </c>
      <c r="BB83" s="595" t="str">
        <f t="shared" si="105"/>
        <v>-</v>
      </c>
      <c r="BC83" s="598" t="str">
        <f t="shared" si="106"/>
        <v>-</v>
      </c>
    </row>
    <row r="84" spans="1:55" x14ac:dyDescent="0.25">
      <c r="A84" s="851"/>
      <c r="B84" s="599" t="s">
        <v>10</v>
      </c>
      <c r="C84" s="600">
        <v>5</v>
      </c>
      <c r="D84" s="601">
        <v>12</v>
      </c>
      <c r="E84" s="602">
        <v>25</v>
      </c>
      <c r="F84" s="602">
        <v>650</v>
      </c>
      <c r="G84" s="602">
        <v>50</v>
      </c>
      <c r="H84" s="602">
        <v>125</v>
      </c>
      <c r="I84" s="599">
        <v>3</v>
      </c>
      <c r="J84" s="599">
        <v>3.3</v>
      </c>
      <c r="K84" s="600"/>
      <c r="L84" s="603">
        <f t="shared" si="233"/>
        <v>15.151515151515152</v>
      </c>
      <c r="M84" s="604">
        <f t="shared" si="237"/>
        <v>1.2626262626262628</v>
      </c>
      <c r="N84" s="605">
        <f t="shared" si="259"/>
        <v>7.5757575757575761</v>
      </c>
      <c r="O84" s="606">
        <f t="shared" si="259"/>
        <v>7.121212121212122</v>
      </c>
      <c r="P84" s="606">
        <f t="shared" si="259"/>
        <v>6.666666666666667</v>
      </c>
      <c r="Q84" s="606">
        <f t="shared" si="259"/>
        <v>6.2121212121212128</v>
      </c>
      <c r="R84" s="606">
        <f t="shared" si="259"/>
        <v>5.7575757575757578</v>
      </c>
      <c r="S84" s="606">
        <f t="shared" si="259"/>
        <v>5.3030303030303036</v>
      </c>
      <c r="T84" s="606">
        <f t="shared" si="259"/>
        <v>4.8484848484848486</v>
      </c>
      <c r="U84" s="606">
        <f t="shared" si="259"/>
        <v>4.3939393939393945</v>
      </c>
      <c r="V84" s="606">
        <f t="shared" si="259"/>
        <v>3.9393939393939394</v>
      </c>
      <c r="W84" s="609">
        <f t="shared" si="259"/>
        <v>3.4848484848484849</v>
      </c>
      <c r="X84" s="606">
        <f t="shared" si="260"/>
        <v>3.0303030303030303</v>
      </c>
      <c r="Y84" s="606">
        <f t="shared" si="260"/>
        <v>2.5757575757575757</v>
      </c>
      <c r="Z84" s="610">
        <f t="shared" si="260"/>
        <v>2.1212121212121211</v>
      </c>
      <c r="AA84" s="606">
        <f t="shared" si="260"/>
        <v>1.6666666666666667</v>
      </c>
      <c r="AB84" s="606" t="str">
        <f t="shared" si="260"/>
        <v>-</v>
      </c>
      <c r="AC84" s="606" t="str">
        <f t="shared" si="260"/>
        <v>-</v>
      </c>
      <c r="AD84" s="606" t="str">
        <f t="shared" si="260"/>
        <v>-</v>
      </c>
      <c r="AE84" s="606" t="str">
        <f t="shared" si="260"/>
        <v>-</v>
      </c>
      <c r="AF84" s="606" t="str">
        <f t="shared" si="260"/>
        <v>-</v>
      </c>
      <c r="AG84" s="606" t="str">
        <f t="shared" si="260"/>
        <v>-</v>
      </c>
      <c r="AH84" s="636" t="str">
        <f t="shared" si="260"/>
        <v>-</v>
      </c>
      <c r="AI84" s="605">
        <f t="shared" si="86"/>
        <v>0.63131313131313138</v>
      </c>
      <c r="AJ84" s="606">
        <f t="shared" si="87"/>
        <v>0.59343434343434354</v>
      </c>
      <c r="AK84" s="606">
        <f t="shared" si="88"/>
        <v>0.55555555555555558</v>
      </c>
      <c r="AL84" s="606">
        <f t="shared" si="89"/>
        <v>0.51767676767676774</v>
      </c>
      <c r="AM84" s="606">
        <f t="shared" si="90"/>
        <v>0.47979797979797983</v>
      </c>
      <c r="AN84" s="606">
        <f t="shared" si="91"/>
        <v>0.44191919191919199</v>
      </c>
      <c r="AO84" s="606">
        <f t="shared" si="92"/>
        <v>0.40404040404040403</v>
      </c>
      <c r="AP84" s="606">
        <f t="shared" si="93"/>
        <v>0.36616161616161619</v>
      </c>
      <c r="AQ84" s="606">
        <f t="shared" si="94"/>
        <v>0.32828282828282829</v>
      </c>
      <c r="AR84" s="608">
        <f t="shared" si="95"/>
        <v>0.29040404040404039</v>
      </c>
      <c r="AS84" s="606">
        <f t="shared" si="96"/>
        <v>0.25252525252525254</v>
      </c>
      <c r="AT84" s="606">
        <f t="shared" si="97"/>
        <v>0.21464646464646464</v>
      </c>
      <c r="AU84" s="606">
        <f t="shared" si="98"/>
        <v>0.17676767676767677</v>
      </c>
      <c r="AV84" s="606">
        <f t="shared" si="99"/>
        <v>0.1388888888888889</v>
      </c>
      <c r="AW84" s="606" t="str">
        <f t="shared" si="100"/>
        <v>-</v>
      </c>
      <c r="AX84" s="606" t="str">
        <f t="shared" si="101"/>
        <v>-</v>
      </c>
      <c r="AY84" s="606" t="str">
        <f t="shared" si="102"/>
        <v>-</v>
      </c>
      <c r="AZ84" s="606" t="str">
        <f t="shared" si="103"/>
        <v>-</v>
      </c>
      <c r="BA84" s="608" t="str">
        <f t="shared" si="104"/>
        <v>-</v>
      </c>
      <c r="BB84" s="608" t="str">
        <f t="shared" si="105"/>
        <v>-</v>
      </c>
      <c r="BC84" s="611" t="str">
        <f t="shared" si="106"/>
        <v>-</v>
      </c>
    </row>
    <row r="85" spans="1:55" ht="15.75" thickBot="1" x14ac:dyDescent="0.3">
      <c r="A85" s="852"/>
      <c r="B85" s="612" t="s">
        <v>11</v>
      </c>
      <c r="C85" s="613">
        <v>6</v>
      </c>
      <c r="D85" s="614">
        <v>12</v>
      </c>
      <c r="E85" s="615">
        <v>30</v>
      </c>
      <c r="F85" s="615">
        <v>750</v>
      </c>
      <c r="G85" s="615">
        <v>50</v>
      </c>
      <c r="H85" s="615">
        <v>150</v>
      </c>
      <c r="I85" s="612">
        <v>3</v>
      </c>
      <c r="J85" s="612">
        <v>3.2</v>
      </c>
      <c r="K85" s="613"/>
      <c r="L85" s="616">
        <f t="shared" si="233"/>
        <v>15.625</v>
      </c>
      <c r="M85" s="617">
        <f t="shared" si="237"/>
        <v>1.3020833333333333</v>
      </c>
      <c r="N85" s="618">
        <f t="shared" si="259"/>
        <v>9.375</v>
      </c>
      <c r="O85" s="619">
        <f t="shared" si="259"/>
        <v>8.90625</v>
      </c>
      <c r="P85" s="619">
        <f t="shared" si="259"/>
        <v>8.4375</v>
      </c>
      <c r="Q85" s="619">
        <f t="shared" si="259"/>
        <v>7.96875</v>
      </c>
      <c r="R85" s="619">
        <f t="shared" si="259"/>
        <v>7.5</v>
      </c>
      <c r="S85" s="619">
        <f t="shared" si="259"/>
        <v>7.03125</v>
      </c>
      <c r="T85" s="619">
        <f t="shared" si="259"/>
        <v>6.5625</v>
      </c>
      <c r="U85" s="619">
        <f t="shared" si="259"/>
        <v>6.09375</v>
      </c>
      <c r="V85" s="619">
        <f t="shared" si="259"/>
        <v>5.625</v>
      </c>
      <c r="W85" s="624">
        <f t="shared" si="259"/>
        <v>5.15625</v>
      </c>
      <c r="X85" s="619">
        <f t="shared" si="260"/>
        <v>4.6875</v>
      </c>
      <c r="Y85" s="619">
        <f t="shared" si="260"/>
        <v>4.21875</v>
      </c>
      <c r="Z85" s="622">
        <f t="shared" si="260"/>
        <v>3.75</v>
      </c>
      <c r="AA85" s="619">
        <f t="shared" si="260"/>
        <v>3.28125</v>
      </c>
      <c r="AB85" s="619">
        <f t="shared" si="260"/>
        <v>2.8125</v>
      </c>
      <c r="AC85" s="619">
        <f t="shared" si="260"/>
        <v>2.34375</v>
      </c>
      <c r="AD85" s="619" t="str">
        <f t="shared" si="260"/>
        <v>-</v>
      </c>
      <c r="AE85" s="619" t="str">
        <f t="shared" si="260"/>
        <v>-</v>
      </c>
      <c r="AF85" s="619" t="str">
        <f t="shared" si="260"/>
        <v>-</v>
      </c>
      <c r="AG85" s="619" t="str">
        <f t="shared" si="260"/>
        <v>-</v>
      </c>
      <c r="AH85" s="624" t="str">
        <f t="shared" si="260"/>
        <v>-</v>
      </c>
      <c r="AI85" s="618">
        <f t="shared" si="86"/>
        <v>0.78125</v>
      </c>
      <c r="AJ85" s="619">
        <f t="shared" si="87"/>
        <v>0.7421875</v>
      </c>
      <c r="AK85" s="619">
        <f t="shared" si="88"/>
        <v>0.703125</v>
      </c>
      <c r="AL85" s="619">
        <f t="shared" si="89"/>
        <v>0.6640625</v>
      </c>
      <c r="AM85" s="619">
        <f t="shared" si="90"/>
        <v>0.625</v>
      </c>
      <c r="AN85" s="619">
        <f t="shared" si="91"/>
        <v>0.5859375</v>
      </c>
      <c r="AO85" s="619">
        <f t="shared" si="92"/>
        <v>0.546875</v>
      </c>
      <c r="AP85" s="619">
        <f t="shared" si="93"/>
        <v>0.5078125</v>
      </c>
      <c r="AQ85" s="619">
        <f t="shared" si="94"/>
        <v>0.46875</v>
      </c>
      <c r="AR85" s="619">
        <f t="shared" si="95"/>
        <v>0.4296875</v>
      </c>
      <c r="AS85" s="619">
        <f t="shared" si="96"/>
        <v>0.390625</v>
      </c>
      <c r="AT85" s="619">
        <f t="shared" si="97"/>
        <v>0.3515625</v>
      </c>
      <c r="AU85" s="619">
        <f t="shared" si="98"/>
        <v>0.3125</v>
      </c>
      <c r="AV85" s="619">
        <f t="shared" si="99"/>
        <v>0.2734375</v>
      </c>
      <c r="AW85" s="619">
        <f t="shared" si="100"/>
        <v>0.234375</v>
      </c>
      <c r="AX85" s="619">
        <f t="shared" si="101"/>
        <v>0.1953125</v>
      </c>
      <c r="AY85" s="619" t="str">
        <f t="shared" si="102"/>
        <v>-</v>
      </c>
      <c r="AZ85" s="619" t="str">
        <f t="shared" si="103"/>
        <v>-</v>
      </c>
      <c r="BA85" s="619" t="str">
        <f t="shared" si="104"/>
        <v>-</v>
      </c>
      <c r="BB85" s="619" t="str">
        <f t="shared" si="105"/>
        <v>-</v>
      </c>
      <c r="BC85" s="637" t="str">
        <f t="shared" si="106"/>
        <v>-</v>
      </c>
    </row>
    <row r="86" spans="1:55" x14ac:dyDescent="0.25">
      <c r="A86" s="842" t="s">
        <v>199</v>
      </c>
      <c r="B86" s="587" t="s">
        <v>9</v>
      </c>
      <c r="C86" s="588">
        <v>7</v>
      </c>
      <c r="D86" s="589">
        <v>12</v>
      </c>
      <c r="E86" s="590">
        <v>40</v>
      </c>
      <c r="F86" s="590">
        <v>850</v>
      </c>
      <c r="G86" s="590">
        <v>52</v>
      </c>
      <c r="H86" s="590">
        <v>175</v>
      </c>
      <c r="I86" s="587">
        <v>2</v>
      </c>
      <c r="J86" s="587">
        <v>3.1</v>
      </c>
      <c r="K86" s="588"/>
      <c r="L86" s="591">
        <f t="shared" si="233"/>
        <v>16.774193548387096</v>
      </c>
      <c r="M86" s="592">
        <f t="shared" si="237"/>
        <v>1.3978494623655913</v>
      </c>
      <c r="N86" s="593">
        <f t="shared" si="259"/>
        <v>12.903225806451612</v>
      </c>
      <c r="O86" s="594">
        <f t="shared" si="259"/>
        <v>12.580645161290322</v>
      </c>
      <c r="P86" s="594">
        <f t="shared" si="259"/>
        <v>12.258064516129032</v>
      </c>
      <c r="Q86" s="594">
        <f t="shared" si="259"/>
        <v>11.935483870967742</v>
      </c>
      <c r="R86" s="594">
        <f t="shared" si="259"/>
        <v>11.612903225806452</v>
      </c>
      <c r="S86" s="595">
        <f t="shared" si="259"/>
        <v>11.29032258064516</v>
      </c>
      <c r="T86" s="595">
        <f t="shared" si="259"/>
        <v>10.96774193548387</v>
      </c>
      <c r="U86" s="595">
        <f t="shared" si="259"/>
        <v>10.64516129032258</v>
      </c>
      <c r="V86" s="595">
        <f t="shared" si="259"/>
        <v>10.32258064516129</v>
      </c>
      <c r="W86" s="596">
        <f t="shared" si="259"/>
        <v>10</v>
      </c>
      <c r="X86" s="594">
        <f t="shared" si="260"/>
        <v>9.67741935483871</v>
      </c>
      <c r="Y86" s="594">
        <f t="shared" si="260"/>
        <v>9.3548387096774199</v>
      </c>
      <c r="Z86" s="597">
        <f t="shared" si="260"/>
        <v>9.0322580645161281</v>
      </c>
      <c r="AA86" s="594">
        <f t="shared" si="260"/>
        <v>8.7096774193548381</v>
      </c>
      <c r="AB86" s="594">
        <f t="shared" si="260"/>
        <v>8.387096774193548</v>
      </c>
      <c r="AC86" s="594">
        <f t="shared" si="260"/>
        <v>8.064516129032258</v>
      </c>
      <c r="AD86" s="594">
        <f t="shared" si="260"/>
        <v>7.7419354838709671</v>
      </c>
      <c r="AE86" s="595">
        <f t="shared" si="260"/>
        <v>7.419354838709677</v>
      </c>
      <c r="AF86" s="595" t="str">
        <f t="shared" si="260"/>
        <v>-</v>
      </c>
      <c r="AG86" s="595" t="str">
        <f t="shared" si="260"/>
        <v>-</v>
      </c>
      <c r="AH86" s="596" t="str">
        <f t="shared" si="260"/>
        <v>-</v>
      </c>
      <c r="AI86" s="593">
        <f t="shared" ref="AI86:AR92" si="261">IF(N$2&lt;=$F86,N86/$D86,"-")</f>
        <v>1.075268817204301</v>
      </c>
      <c r="AJ86" s="594">
        <f t="shared" si="261"/>
        <v>1.0483870967741935</v>
      </c>
      <c r="AK86" s="594">
        <f t="shared" si="261"/>
        <v>1.021505376344086</v>
      </c>
      <c r="AL86" s="594">
        <f t="shared" si="261"/>
        <v>0.9946236559139785</v>
      </c>
      <c r="AM86" s="594">
        <f t="shared" si="261"/>
        <v>0.967741935483871</v>
      </c>
      <c r="AN86" s="595">
        <f t="shared" si="261"/>
        <v>0.94086021505376338</v>
      </c>
      <c r="AO86" s="595">
        <f t="shared" si="261"/>
        <v>0.91397849462365588</v>
      </c>
      <c r="AP86" s="595">
        <f t="shared" si="261"/>
        <v>0.88709677419354838</v>
      </c>
      <c r="AQ86" s="595">
        <f t="shared" si="261"/>
        <v>0.86021505376344087</v>
      </c>
      <c r="AR86" s="595">
        <f t="shared" si="261"/>
        <v>0.83333333333333337</v>
      </c>
      <c r="AS86" s="594">
        <f t="shared" si="96"/>
        <v>0.80645161290322587</v>
      </c>
      <c r="AT86" s="594">
        <f t="shared" si="97"/>
        <v>0.77956989247311836</v>
      </c>
      <c r="AU86" s="594">
        <f t="shared" si="98"/>
        <v>0.75268817204301064</v>
      </c>
      <c r="AV86" s="594">
        <f t="shared" si="99"/>
        <v>0.72580645161290314</v>
      </c>
      <c r="AW86" s="595">
        <f t="shared" si="100"/>
        <v>0.69892473118279563</v>
      </c>
      <c r="AX86" s="595">
        <f t="shared" si="101"/>
        <v>0.67204301075268813</v>
      </c>
      <c r="AY86" s="595">
        <f t="shared" si="102"/>
        <v>0.64516129032258063</v>
      </c>
      <c r="AZ86" s="595">
        <f t="shared" si="103"/>
        <v>0.61827956989247312</v>
      </c>
      <c r="BA86" s="595" t="str">
        <f t="shared" si="104"/>
        <v>-</v>
      </c>
      <c r="BB86" s="595" t="str">
        <f t="shared" si="105"/>
        <v>-</v>
      </c>
      <c r="BC86" s="598" t="str">
        <f t="shared" si="106"/>
        <v>-</v>
      </c>
    </row>
    <row r="87" spans="1:55" ht="15.75" thickBot="1" x14ac:dyDescent="0.3">
      <c r="A87" s="844"/>
      <c r="B87" s="638" t="s">
        <v>10</v>
      </c>
      <c r="C87" s="639">
        <v>8</v>
      </c>
      <c r="D87" s="640">
        <v>12</v>
      </c>
      <c r="E87" s="641">
        <v>50</v>
      </c>
      <c r="F87" s="641">
        <v>950</v>
      </c>
      <c r="G87" s="641">
        <v>52</v>
      </c>
      <c r="H87" s="641">
        <v>200</v>
      </c>
      <c r="I87" s="638">
        <v>2</v>
      </c>
      <c r="J87" s="638">
        <v>3.1</v>
      </c>
      <c r="K87" s="639"/>
      <c r="L87" s="642">
        <f t="shared" si="233"/>
        <v>16.774193548387096</v>
      </c>
      <c r="M87" s="643">
        <f t="shared" si="237"/>
        <v>1.3978494623655913</v>
      </c>
      <c r="N87" s="644">
        <f t="shared" si="259"/>
        <v>16.129032258064516</v>
      </c>
      <c r="O87" s="645">
        <f t="shared" si="259"/>
        <v>15.806451612903226</v>
      </c>
      <c r="P87" s="645">
        <f t="shared" si="259"/>
        <v>15.483870967741934</v>
      </c>
      <c r="Q87" s="645">
        <f t="shared" si="259"/>
        <v>15.161290322580644</v>
      </c>
      <c r="R87" s="645">
        <f t="shared" si="259"/>
        <v>14.838709677419354</v>
      </c>
      <c r="S87" s="607">
        <f t="shared" si="259"/>
        <v>14.516129032258064</v>
      </c>
      <c r="T87" s="607">
        <f t="shared" si="259"/>
        <v>14.193548387096774</v>
      </c>
      <c r="U87" s="607">
        <f t="shared" si="259"/>
        <v>13.870967741935484</v>
      </c>
      <c r="V87" s="607">
        <f t="shared" si="259"/>
        <v>13.548387096774194</v>
      </c>
      <c r="W87" s="646">
        <f t="shared" si="259"/>
        <v>13.225806451612902</v>
      </c>
      <c r="X87" s="645">
        <f t="shared" si="260"/>
        <v>12.903225806451612</v>
      </c>
      <c r="Y87" s="645">
        <f t="shared" si="260"/>
        <v>12.580645161290322</v>
      </c>
      <c r="Z87" s="647">
        <f t="shared" si="260"/>
        <v>12.258064516129032</v>
      </c>
      <c r="AA87" s="645">
        <f t="shared" si="260"/>
        <v>11.935483870967742</v>
      </c>
      <c r="AB87" s="645">
        <f t="shared" si="260"/>
        <v>11.612903225806452</v>
      </c>
      <c r="AC87" s="645">
        <f t="shared" si="260"/>
        <v>11.29032258064516</v>
      </c>
      <c r="AD87" s="645">
        <f t="shared" si="260"/>
        <v>10.96774193548387</v>
      </c>
      <c r="AE87" s="607">
        <f t="shared" si="260"/>
        <v>10.64516129032258</v>
      </c>
      <c r="AF87" s="607">
        <f t="shared" si="260"/>
        <v>10.32258064516129</v>
      </c>
      <c r="AG87" s="607">
        <f t="shared" si="260"/>
        <v>10</v>
      </c>
      <c r="AH87" s="646" t="str">
        <f t="shared" si="260"/>
        <v>-</v>
      </c>
      <c r="AI87" s="644">
        <f t="shared" si="261"/>
        <v>1.3440860215053763</v>
      </c>
      <c r="AJ87" s="645">
        <f t="shared" si="261"/>
        <v>1.3172043010752688</v>
      </c>
      <c r="AK87" s="645">
        <f t="shared" si="261"/>
        <v>1.2903225806451613</v>
      </c>
      <c r="AL87" s="645">
        <f t="shared" si="261"/>
        <v>1.2634408602150538</v>
      </c>
      <c r="AM87" s="645">
        <f t="shared" si="261"/>
        <v>1.2365591397849462</v>
      </c>
      <c r="AN87" s="607">
        <f t="shared" si="261"/>
        <v>1.2096774193548387</v>
      </c>
      <c r="AO87" s="607">
        <f t="shared" si="261"/>
        <v>1.1827956989247312</v>
      </c>
      <c r="AP87" s="607">
        <f t="shared" si="261"/>
        <v>1.1559139784946237</v>
      </c>
      <c r="AQ87" s="607">
        <f t="shared" si="261"/>
        <v>1.1290322580645162</v>
      </c>
      <c r="AR87" s="607">
        <f t="shared" si="261"/>
        <v>1.1021505376344085</v>
      </c>
      <c r="AS87" s="645">
        <f t="shared" si="96"/>
        <v>1.075268817204301</v>
      </c>
      <c r="AT87" s="645">
        <f t="shared" si="97"/>
        <v>1.0483870967741935</v>
      </c>
      <c r="AU87" s="645">
        <f t="shared" si="98"/>
        <v>1.021505376344086</v>
      </c>
      <c r="AV87" s="645">
        <f t="shared" si="99"/>
        <v>0.9946236559139785</v>
      </c>
      <c r="AW87" s="607">
        <f t="shared" si="100"/>
        <v>0.967741935483871</v>
      </c>
      <c r="AX87" s="607">
        <f t="shared" si="101"/>
        <v>0.94086021505376338</v>
      </c>
      <c r="AY87" s="607">
        <f t="shared" si="102"/>
        <v>0.91397849462365588</v>
      </c>
      <c r="AZ87" s="607">
        <f t="shared" si="103"/>
        <v>0.88709677419354838</v>
      </c>
      <c r="BA87" s="607">
        <f t="shared" si="104"/>
        <v>0.86021505376344087</v>
      </c>
      <c r="BB87" s="607">
        <f t="shared" si="105"/>
        <v>0.83333333333333337</v>
      </c>
      <c r="BC87" s="648" t="str">
        <f t="shared" si="106"/>
        <v>-</v>
      </c>
    </row>
    <row r="88" spans="1:55" x14ac:dyDescent="0.25">
      <c r="A88" s="842" t="s">
        <v>35</v>
      </c>
      <c r="B88" s="587" t="s">
        <v>9</v>
      </c>
      <c r="C88" s="588">
        <v>4</v>
      </c>
      <c r="D88" s="589">
        <v>12</v>
      </c>
      <c r="E88" s="590">
        <v>24</v>
      </c>
      <c r="F88" s="590">
        <v>430</v>
      </c>
      <c r="G88" s="590">
        <v>60</v>
      </c>
      <c r="H88" s="590">
        <v>95</v>
      </c>
      <c r="I88" s="587">
        <v>4</v>
      </c>
      <c r="J88" s="587">
        <v>3.8</v>
      </c>
      <c r="K88" s="588"/>
      <c r="L88" s="591">
        <f t="shared" si="233"/>
        <v>15.789473684210527</v>
      </c>
      <c r="M88" s="592">
        <f t="shared" si="237"/>
        <v>1.3157894736842106</v>
      </c>
      <c r="N88" s="593">
        <f t="shared" si="259"/>
        <v>6.3157894736842106</v>
      </c>
      <c r="O88" s="594">
        <f t="shared" si="259"/>
        <v>5.7894736842105265</v>
      </c>
      <c r="P88" s="594">
        <f t="shared" si="259"/>
        <v>5.2631578947368425</v>
      </c>
      <c r="Q88" s="594">
        <f t="shared" si="259"/>
        <v>4.7368421052631584</v>
      </c>
      <c r="R88" s="594">
        <f t="shared" si="259"/>
        <v>4.2105263157894735</v>
      </c>
      <c r="S88" s="595">
        <f t="shared" si="259"/>
        <v>3.6842105263157898</v>
      </c>
      <c r="T88" s="595">
        <f t="shared" si="259"/>
        <v>3.1578947368421053</v>
      </c>
      <c r="U88" s="595">
        <f t="shared" si="259"/>
        <v>2.6315789473684212</v>
      </c>
      <c r="V88" s="595">
        <f t="shared" si="259"/>
        <v>2.1052631578947367</v>
      </c>
      <c r="W88" s="596" t="str">
        <f t="shared" si="259"/>
        <v>-</v>
      </c>
      <c r="X88" s="594" t="str">
        <f t="shared" si="260"/>
        <v>-</v>
      </c>
      <c r="Y88" s="594" t="str">
        <f t="shared" si="260"/>
        <v>-</v>
      </c>
      <c r="Z88" s="597" t="str">
        <f t="shared" si="260"/>
        <v>-</v>
      </c>
      <c r="AA88" s="594" t="str">
        <f t="shared" si="260"/>
        <v>-</v>
      </c>
      <c r="AB88" s="594" t="str">
        <f t="shared" si="260"/>
        <v>-</v>
      </c>
      <c r="AC88" s="594" t="str">
        <f t="shared" si="260"/>
        <v>-</v>
      </c>
      <c r="AD88" s="594" t="str">
        <f t="shared" si="260"/>
        <v>-</v>
      </c>
      <c r="AE88" s="595" t="str">
        <f t="shared" si="260"/>
        <v>-</v>
      </c>
      <c r="AF88" s="595" t="str">
        <f t="shared" si="260"/>
        <v>-</v>
      </c>
      <c r="AG88" s="595" t="str">
        <f t="shared" si="260"/>
        <v>-</v>
      </c>
      <c r="AH88" s="596" t="str">
        <f t="shared" si="260"/>
        <v>-</v>
      </c>
      <c r="AI88" s="593">
        <f t="shared" si="261"/>
        <v>0.52631578947368418</v>
      </c>
      <c r="AJ88" s="594">
        <f t="shared" si="261"/>
        <v>0.48245614035087719</v>
      </c>
      <c r="AK88" s="594">
        <f t="shared" si="261"/>
        <v>0.43859649122807021</v>
      </c>
      <c r="AL88" s="594">
        <f t="shared" si="261"/>
        <v>0.39473684210526322</v>
      </c>
      <c r="AM88" s="594">
        <f t="shared" si="261"/>
        <v>0.35087719298245612</v>
      </c>
      <c r="AN88" s="595">
        <f t="shared" si="261"/>
        <v>0.30701754385964913</v>
      </c>
      <c r="AO88" s="595">
        <f t="shared" si="261"/>
        <v>0.26315789473684209</v>
      </c>
      <c r="AP88" s="595">
        <f t="shared" si="261"/>
        <v>0.2192982456140351</v>
      </c>
      <c r="AQ88" s="595">
        <f t="shared" si="261"/>
        <v>0.17543859649122806</v>
      </c>
      <c r="AR88" s="595" t="str">
        <f t="shared" si="261"/>
        <v>-</v>
      </c>
      <c r="AS88" s="594" t="str">
        <f t="shared" si="96"/>
        <v>-</v>
      </c>
      <c r="AT88" s="594" t="str">
        <f t="shared" si="97"/>
        <v>-</v>
      </c>
      <c r="AU88" s="594" t="str">
        <f t="shared" si="98"/>
        <v>-</v>
      </c>
      <c r="AV88" s="594" t="str">
        <f t="shared" si="99"/>
        <v>-</v>
      </c>
      <c r="AW88" s="595" t="str">
        <f t="shared" si="100"/>
        <v>-</v>
      </c>
      <c r="AX88" s="595" t="str">
        <f t="shared" si="101"/>
        <v>-</v>
      </c>
      <c r="AY88" s="595" t="str">
        <f t="shared" si="102"/>
        <v>-</v>
      </c>
      <c r="AZ88" s="595" t="str">
        <f t="shared" si="103"/>
        <v>-</v>
      </c>
      <c r="BA88" s="595" t="str">
        <f t="shared" si="104"/>
        <v>-</v>
      </c>
      <c r="BB88" s="595" t="str">
        <f t="shared" si="105"/>
        <v>-</v>
      </c>
      <c r="BC88" s="598" t="str">
        <f t="shared" si="106"/>
        <v>-</v>
      </c>
    </row>
    <row r="89" spans="1:55" x14ac:dyDescent="0.25">
      <c r="A89" s="843"/>
      <c r="B89" s="599" t="s">
        <v>10</v>
      </c>
      <c r="C89" s="600">
        <v>5</v>
      </c>
      <c r="D89" s="601">
        <v>12</v>
      </c>
      <c r="E89" s="602">
        <v>32</v>
      </c>
      <c r="F89" s="602">
        <v>540</v>
      </c>
      <c r="G89" s="602">
        <v>60</v>
      </c>
      <c r="H89" s="602">
        <v>110</v>
      </c>
      <c r="I89" s="599">
        <v>4</v>
      </c>
      <c r="J89" s="599">
        <v>3.8</v>
      </c>
      <c r="K89" s="600"/>
      <c r="L89" s="603">
        <f t="shared" si="233"/>
        <v>15.789473684210527</v>
      </c>
      <c r="M89" s="604">
        <f t="shared" si="237"/>
        <v>1.3157894736842106</v>
      </c>
      <c r="N89" s="605">
        <f t="shared" si="259"/>
        <v>8.4210526315789469</v>
      </c>
      <c r="O89" s="606">
        <f t="shared" si="259"/>
        <v>7.8947368421052637</v>
      </c>
      <c r="P89" s="606">
        <f t="shared" si="259"/>
        <v>7.3684210526315796</v>
      </c>
      <c r="Q89" s="606">
        <f t="shared" si="259"/>
        <v>6.8421052631578947</v>
      </c>
      <c r="R89" s="606">
        <f t="shared" si="259"/>
        <v>6.3157894736842106</v>
      </c>
      <c r="S89" s="606">
        <f t="shared" si="259"/>
        <v>5.7894736842105265</v>
      </c>
      <c r="T89" s="608">
        <f t="shared" si="259"/>
        <v>5.2631578947368425</v>
      </c>
      <c r="U89" s="608">
        <f t="shared" si="259"/>
        <v>4.7368421052631584</v>
      </c>
      <c r="V89" s="608">
        <f t="shared" si="259"/>
        <v>4.2105263157894735</v>
      </c>
      <c r="W89" s="609">
        <f t="shared" si="259"/>
        <v>3.6842105263157898</v>
      </c>
      <c r="X89" s="606">
        <f t="shared" si="260"/>
        <v>3.1578947368421053</v>
      </c>
      <c r="Y89" s="606" t="str">
        <f t="shared" si="260"/>
        <v>-</v>
      </c>
      <c r="Z89" s="610" t="str">
        <f t="shared" si="260"/>
        <v>-</v>
      </c>
      <c r="AA89" s="606" t="str">
        <f t="shared" si="260"/>
        <v>-</v>
      </c>
      <c r="AB89" s="606" t="str">
        <f t="shared" si="260"/>
        <v>-</v>
      </c>
      <c r="AC89" s="606" t="str">
        <f t="shared" si="260"/>
        <v>-</v>
      </c>
      <c r="AD89" s="606" t="str">
        <f t="shared" si="260"/>
        <v>-</v>
      </c>
      <c r="AE89" s="606" t="str">
        <f t="shared" si="260"/>
        <v>-</v>
      </c>
      <c r="AF89" s="608" t="str">
        <f t="shared" si="260"/>
        <v>-</v>
      </c>
      <c r="AG89" s="608" t="str">
        <f t="shared" si="260"/>
        <v>-</v>
      </c>
      <c r="AH89" s="609" t="str">
        <f t="shared" si="260"/>
        <v>-</v>
      </c>
      <c r="AI89" s="605">
        <f t="shared" si="261"/>
        <v>0.70175438596491224</v>
      </c>
      <c r="AJ89" s="606">
        <f t="shared" si="261"/>
        <v>0.65789473684210531</v>
      </c>
      <c r="AK89" s="606">
        <f t="shared" si="261"/>
        <v>0.61403508771929827</v>
      </c>
      <c r="AL89" s="606">
        <f t="shared" si="261"/>
        <v>0.57017543859649122</v>
      </c>
      <c r="AM89" s="606">
        <f t="shared" si="261"/>
        <v>0.52631578947368418</v>
      </c>
      <c r="AN89" s="606">
        <f t="shared" si="261"/>
        <v>0.48245614035087719</v>
      </c>
      <c r="AO89" s="608">
        <f t="shared" si="261"/>
        <v>0.43859649122807021</v>
      </c>
      <c r="AP89" s="608">
        <f t="shared" si="261"/>
        <v>0.39473684210526322</v>
      </c>
      <c r="AQ89" s="608">
        <f t="shared" si="261"/>
        <v>0.35087719298245612</v>
      </c>
      <c r="AR89" s="608">
        <f t="shared" si="261"/>
        <v>0.30701754385964913</v>
      </c>
      <c r="AS89" s="606">
        <f t="shared" si="96"/>
        <v>0.26315789473684209</v>
      </c>
      <c r="AT89" s="606" t="str">
        <f t="shared" si="97"/>
        <v>-</v>
      </c>
      <c r="AU89" s="606" t="str">
        <f t="shared" si="98"/>
        <v>-</v>
      </c>
      <c r="AV89" s="606" t="str">
        <f t="shared" si="99"/>
        <v>-</v>
      </c>
      <c r="AW89" s="606" t="str">
        <f t="shared" si="100"/>
        <v>-</v>
      </c>
      <c r="AX89" s="608" t="str">
        <f t="shared" si="101"/>
        <v>-</v>
      </c>
      <c r="AY89" s="608" t="str">
        <f t="shared" si="102"/>
        <v>-</v>
      </c>
      <c r="AZ89" s="608" t="str">
        <f t="shared" si="103"/>
        <v>-</v>
      </c>
      <c r="BA89" s="608" t="str">
        <f t="shared" si="104"/>
        <v>-</v>
      </c>
      <c r="BB89" s="608" t="str">
        <f t="shared" si="105"/>
        <v>-</v>
      </c>
      <c r="BC89" s="611" t="str">
        <f t="shared" si="106"/>
        <v>-</v>
      </c>
    </row>
    <row r="90" spans="1:55" ht="15.75" thickBot="1" x14ac:dyDescent="0.3">
      <c r="A90" s="843"/>
      <c r="B90" s="612" t="s">
        <v>11</v>
      </c>
      <c r="C90" s="613">
        <v>6</v>
      </c>
      <c r="D90" s="614">
        <v>12</v>
      </c>
      <c r="E90" s="615">
        <v>40</v>
      </c>
      <c r="F90" s="615">
        <v>650</v>
      </c>
      <c r="G90" s="615">
        <v>60</v>
      </c>
      <c r="H90" s="615">
        <v>125</v>
      </c>
      <c r="I90" s="612">
        <v>4</v>
      </c>
      <c r="J90" s="612">
        <v>3.8</v>
      </c>
      <c r="K90" s="613"/>
      <c r="L90" s="616">
        <f t="shared" si="233"/>
        <v>15.789473684210527</v>
      </c>
      <c r="M90" s="617">
        <f t="shared" si="237"/>
        <v>1.3157894736842106</v>
      </c>
      <c r="N90" s="618">
        <f t="shared" si="259"/>
        <v>10.526315789473685</v>
      </c>
      <c r="O90" s="619">
        <f t="shared" si="259"/>
        <v>10</v>
      </c>
      <c r="P90" s="619">
        <f t="shared" si="259"/>
        <v>9.4736842105263168</v>
      </c>
      <c r="Q90" s="619">
        <f t="shared" si="259"/>
        <v>8.9473684210526319</v>
      </c>
      <c r="R90" s="619">
        <f t="shared" si="259"/>
        <v>8.4210526315789469</v>
      </c>
      <c r="S90" s="619">
        <f t="shared" si="259"/>
        <v>7.8947368421052637</v>
      </c>
      <c r="T90" s="619">
        <f t="shared" si="259"/>
        <v>7.3684210526315796</v>
      </c>
      <c r="U90" s="620">
        <f t="shared" si="259"/>
        <v>6.8421052631578947</v>
      </c>
      <c r="V90" s="620">
        <f t="shared" si="259"/>
        <v>6.3157894736842106</v>
      </c>
      <c r="W90" s="621">
        <f t="shared" si="259"/>
        <v>5.7894736842105265</v>
      </c>
      <c r="X90" s="619">
        <f t="shared" si="260"/>
        <v>5.2631578947368425</v>
      </c>
      <c r="Y90" s="619">
        <f t="shared" si="260"/>
        <v>4.7368421052631584</v>
      </c>
      <c r="Z90" s="622">
        <f t="shared" si="260"/>
        <v>4.2105263157894735</v>
      </c>
      <c r="AA90" s="619">
        <f t="shared" si="260"/>
        <v>3.6842105263157898</v>
      </c>
      <c r="AB90" s="619" t="str">
        <f t="shared" si="260"/>
        <v>-</v>
      </c>
      <c r="AC90" s="619" t="str">
        <f t="shared" si="260"/>
        <v>-</v>
      </c>
      <c r="AD90" s="619" t="str">
        <f t="shared" si="260"/>
        <v>-</v>
      </c>
      <c r="AE90" s="619" t="str">
        <f t="shared" si="260"/>
        <v>-</v>
      </c>
      <c r="AF90" s="619" t="str">
        <f t="shared" si="260"/>
        <v>-</v>
      </c>
      <c r="AG90" s="620" t="str">
        <f t="shared" si="260"/>
        <v>-</v>
      </c>
      <c r="AH90" s="621" t="str">
        <f t="shared" si="260"/>
        <v>-</v>
      </c>
      <c r="AI90" s="618">
        <f t="shared" si="261"/>
        <v>0.87719298245614041</v>
      </c>
      <c r="AJ90" s="619">
        <f t="shared" si="261"/>
        <v>0.83333333333333337</v>
      </c>
      <c r="AK90" s="619">
        <f t="shared" si="261"/>
        <v>0.78947368421052644</v>
      </c>
      <c r="AL90" s="619">
        <f t="shared" si="261"/>
        <v>0.74561403508771928</v>
      </c>
      <c r="AM90" s="619">
        <f t="shared" si="261"/>
        <v>0.70175438596491224</v>
      </c>
      <c r="AN90" s="619">
        <f t="shared" si="261"/>
        <v>0.65789473684210531</v>
      </c>
      <c r="AO90" s="619">
        <f t="shared" si="261"/>
        <v>0.61403508771929827</v>
      </c>
      <c r="AP90" s="620">
        <f t="shared" si="261"/>
        <v>0.57017543859649122</v>
      </c>
      <c r="AQ90" s="620">
        <f t="shared" si="261"/>
        <v>0.52631578947368418</v>
      </c>
      <c r="AR90" s="620">
        <f t="shared" si="261"/>
        <v>0.48245614035087719</v>
      </c>
      <c r="AS90" s="619">
        <f t="shared" si="96"/>
        <v>0.43859649122807021</v>
      </c>
      <c r="AT90" s="619">
        <f t="shared" si="97"/>
        <v>0.39473684210526322</v>
      </c>
      <c r="AU90" s="619">
        <f t="shared" si="98"/>
        <v>0.35087719298245612</v>
      </c>
      <c r="AV90" s="619">
        <f t="shared" si="99"/>
        <v>0.30701754385964913</v>
      </c>
      <c r="AW90" s="619" t="str">
        <f t="shared" si="100"/>
        <v>-</v>
      </c>
      <c r="AX90" s="619" t="str">
        <f t="shared" si="101"/>
        <v>-</v>
      </c>
      <c r="AY90" s="620" t="str">
        <f t="shared" si="102"/>
        <v>-</v>
      </c>
      <c r="AZ90" s="620" t="str">
        <f t="shared" si="103"/>
        <v>-</v>
      </c>
      <c r="BA90" s="620" t="str">
        <f t="shared" si="104"/>
        <v>-</v>
      </c>
      <c r="BB90" s="620" t="str">
        <f t="shared" si="105"/>
        <v>-</v>
      </c>
      <c r="BC90" s="623" t="str">
        <f t="shared" si="106"/>
        <v>-</v>
      </c>
    </row>
    <row r="91" spans="1:55" x14ac:dyDescent="0.25">
      <c r="A91" s="842" t="s">
        <v>200</v>
      </c>
      <c r="B91" s="587" t="s">
        <v>11</v>
      </c>
      <c r="C91" s="588">
        <v>7</v>
      </c>
      <c r="D91" s="589">
        <v>12</v>
      </c>
      <c r="E91" s="590">
        <v>50</v>
      </c>
      <c r="F91" s="590">
        <v>760</v>
      </c>
      <c r="G91" s="590">
        <v>64</v>
      </c>
      <c r="H91" s="590">
        <v>140</v>
      </c>
      <c r="I91" s="587">
        <v>3</v>
      </c>
      <c r="J91" s="587">
        <v>3.5</v>
      </c>
      <c r="K91" s="588"/>
      <c r="L91" s="591">
        <f t="shared" si="233"/>
        <v>18.285714285714285</v>
      </c>
      <c r="M91" s="592">
        <f t="shared" si="237"/>
        <v>1.5238095238095237</v>
      </c>
      <c r="N91" s="593">
        <f t="shared" si="259"/>
        <v>14.285714285714286</v>
      </c>
      <c r="O91" s="594">
        <f t="shared" si="259"/>
        <v>13.857142857142858</v>
      </c>
      <c r="P91" s="594">
        <f t="shared" si="259"/>
        <v>13.428571428571429</v>
      </c>
      <c r="Q91" s="594">
        <f t="shared" si="259"/>
        <v>13</v>
      </c>
      <c r="R91" s="594">
        <f t="shared" si="259"/>
        <v>12.571428571428571</v>
      </c>
      <c r="S91" s="594">
        <f t="shared" si="259"/>
        <v>12.142857142857142</v>
      </c>
      <c r="T91" s="594">
        <f t="shared" si="259"/>
        <v>11.714285714285714</v>
      </c>
      <c r="U91" s="595">
        <f t="shared" si="259"/>
        <v>11.285714285714286</v>
      </c>
      <c r="V91" s="595">
        <f t="shared" si="259"/>
        <v>10.857142857142858</v>
      </c>
      <c r="W91" s="596">
        <f t="shared" si="259"/>
        <v>10.428571428571429</v>
      </c>
      <c r="X91" s="594">
        <f t="shared" si="260"/>
        <v>10</v>
      </c>
      <c r="Y91" s="594">
        <f t="shared" si="260"/>
        <v>9.5714285714285712</v>
      </c>
      <c r="Z91" s="597">
        <f t="shared" si="260"/>
        <v>9.1428571428571423</v>
      </c>
      <c r="AA91" s="594">
        <f t="shared" si="260"/>
        <v>8.7142857142857135</v>
      </c>
      <c r="AB91" s="594">
        <f t="shared" si="260"/>
        <v>8.2857142857142865</v>
      </c>
      <c r="AC91" s="594">
        <f t="shared" si="260"/>
        <v>7.8571428571428568</v>
      </c>
      <c r="AD91" s="594" t="str">
        <f t="shared" si="260"/>
        <v>-</v>
      </c>
      <c r="AE91" s="594" t="str">
        <f t="shared" si="260"/>
        <v>-</v>
      </c>
      <c r="AF91" s="594" t="str">
        <f t="shared" si="260"/>
        <v>-</v>
      </c>
      <c r="AG91" s="595" t="str">
        <f t="shared" si="260"/>
        <v>-</v>
      </c>
      <c r="AH91" s="596" t="str">
        <f t="shared" si="260"/>
        <v>-</v>
      </c>
      <c r="AI91" s="593">
        <f t="shared" si="261"/>
        <v>1.1904761904761905</v>
      </c>
      <c r="AJ91" s="594">
        <f t="shared" si="261"/>
        <v>1.1547619047619049</v>
      </c>
      <c r="AK91" s="594">
        <f t="shared" si="261"/>
        <v>1.1190476190476191</v>
      </c>
      <c r="AL91" s="594">
        <f t="shared" si="261"/>
        <v>1.0833333333333333</v>
      </c>
      <c r="AM91" s="594">
        <f t="shared" si="261"/>
        <v>1.0476190476190477</v>
      </c>
      <c r="AN91" s="594">
        <f t="shared" si="261"/>
        <v>1.0119047619047619</v>
      </c>
      <c r="AO91" s="594">
        <f t="shared" si="261"/>
        <v>0.97619047619047616</v>
      </c>
      <c r="AP91" s="595">
        <f t="shared" si="261"/>
        <v>0.94047619047619058</v>
      </c>
      <c r="AQ91" s="595">
        <f t="shared" si="261"/>
        <v>0.90476190476190477</v>
      </c>
      <c r="AR91" s="595">
        <f t="shared" si="261"/>
        <v>0.86904761904761907</v>
      </c>
      <c r="AS91" s="594">
        <f t="shared" si="96"/>
        <v>0.83333333333333337</v>
      </c>
      <c r="AT91" s="594">
        <f t="shared" si="97"/>
        <v>0.79761904761904756</v>
      </c>
      <c r="AU91" s="594">
        <f t="shared" si="98"/>
        <v>0.76190476190476186</v>
      </c>
      <c r="AV91" s="594">
        <f t="shared" si="99"/>
        <v>0.72619047619047616</v>
      </c>
      <c r="AW91" s="594">
        <f t="shared" si="100"/>
        <v>0.69047619047619058</v>
      </c>
      <c r="AX91" s="594">
        <f t="shared" si="101"/>
        <v>0.65476190476190477</v>
      </c>
      <c r="AY91" s="595" t="str">
        <f t="shared" si="102"/>
        <v>-</v>
      </c>
      <c r="AZ91" s="595" t="str">
        <f t="shared" si="103"/>
        <v>-</v>
      </c>
      <c r="BA91" s="595" t="str">
        <f t="shared" si="104"/>
        <v>-</v>
      </c>
      <c r="BB91" s="595" t="str">
        <f t="shared" si="105"/>
        <v>-</v>
      </c>
      <c r="BC91" s="598" t="str">
        <f t="shared" si="106"/>
        <v>-</v>
      </c>
    </row>
    <row r="92" spans="1:55" ht="15.75" thickBot="1" x14ac:dyDescent="0.3">
      <c r="A92" s="844"/>
      <c r="B92" s="649" t="s">
        <v>11</v>
      </c>
      <c r="C92" s="650">
        <v>8</v>
      </c>
      <c r="D92" s="651">
        <v>12</v>
      </c>
      <c r="E92" s="652">
        <v>60</v>
      </c>
      <c r="F92" s="652">
        <v>870</v>
      </c>
      <c r="G92" s="652">
        <v>64</v>
      </c>
      <c r="H92" s="652">
        <v>155</v>
      </c>
      <c r="I92" s="649">
        <v>3</v>
      </c>
      <c r="J92" s="649">
        <v>3.5</v>
      </c>
      <c r="K92" s="650"/>
      <c r="L92" s="653">
        <f t="shared" si="233"/>
        <v>18.285714285714285</v>
      </c>
      <c r="M92" s="654">
        <f t="shared" si="237"/>
        <v>1.5238095238095237</v>
      </c>
      <c r="N92" s="655">
        <f t="shared" si="259"/>
        <v>17.142857142857142</v>
      </c>
      <c r="O92" s="656">
        <f t="shared" si="259"/>
        <v>16.714285714285715</v>
      </c>
      <c r="P92" s="656">
        <f t="shared" si="259"/>
        <v>16.285714285714285</v>
      </c>
      <c r="Q92" s="656">
        <f t="shared" si="259"/>
        <v>15.857142857142858</v>
      </c>
      <c r="R92" s="656">
        <f t="shared" si="259"/>
        <v>15.428571428571429</v>
      </c>
      <c r="S92" s="656">
        <f t="shared" si="259"/>
        <v>15</v>
      </c>
      <c r="T92" s="656">
        <f t="shared" si="259"/>
        <v>14.571428571428571</v>
      </c>
      <c r="U92" s="657">
        <f t="shared" si="259"/>
        <v>14.142857142857142</v>
      </c>
      <c r="V92" s="657">
        <f t="shared" si="259"/>
        <v>13.714285714285714</v>
      </c>
      <c r="W92" s="658">
        <f t="shared" si="259"/>
        <v>13.285714285714286</v>
      </c>
      <c r="X92" s="656">
        <f t="shared" si="260"/>
        <v>12.857142857142858</v>
      </c>
      <c r="Y92" s="656">
        <f t="shared" si="260"/>
        <v>12.428571428571429</v>
      </c>
      <c r="Z92" s="659">
        <f t="shared" si="260"/>
        <v>12</v>
      </c>
      <c r="AA92" s="656">
        <f t="shared" si="260"/>
        <v>11.571428571428571</v>
      </c>
      <c r="AB92" s="656">
        <f t="shared" si="260"/>
        <v>11.142857142857142</v>
      </c>
      <c r="AC92" s="656">
        <f t="shared" si="260"/>
        <v>10.714285714285714</v>
      </c>
      <c r="AD92" s="656">
        <f t="shared" si="260"/>
        <v>10.285714285714286</v>
      </c>
      <c r="AE92" s="656">
        <f t="shared" si="260"/>
        <v>9.8571428571428577</v>
      </c>
      <c r="AF92" s="656" t="str">
        <f t="shared" si="260"/>
        <v>-</v>
      </c>
      <c r="AG92" s="657" t="str">
        <f t="shared" si="260"/>
        <v>-</v>
      </c>
      <c r="AH92" s="658" t="str">
        <f t="shared" si="260"/>
        <v>-</v>
      </c>
      <c r="AI92" s="655">
        <f t="shared" si="261"/>
        <v>1.4285714285714286</v>
      </c>
      <c r="AJ92" s="656">
        <f t="shared" si="261"/>
        <v>1.392857142857143</v>
      </c>
      <c r="AK92" s="656">
        <f t="shared" si="261"/>
        <v>1.357142857142857</v>
      </c>
      <c r="AL92" s="656">
        <f t="shared" si="261"/>
        <v>1.3214285714285714</v>
      </c>
      <c r="AM92" s="656">
        <f t="shared" si="261"/>
        <v>1.2857142857142858</v>
      </c>
      <c r="AN92" s="656">
        <f t="shared" si="261"/>
        <v>1.25</v>
      </c>
      <c r="AO92" s="656">
        <f t="shared" si="261"/>
        <v>1.2142857142857142</v>
      </c>
      <c r="AP92" s="657">
        <f t="shared" si="261"/>
        <v>1.1785714285714286</v>
      </c>
      <c r="AQ92" s="657">
        <f t="shared" si="261"/>
        <v>1.1428571428571428</v>
      </c>
      <c r="AR92" s="657">
        <f t="shared" si="261"/>
        <v>1.1071428571428572</v>
      </c>
      <c r="AS92" s="656">
        <f t="shared" si="96"/>
        <v>1.0714285714285714</v>
      </c>
      <c r="AT92" s="656">
        <f t="shared" si="97"/>
        <v>1.0357142857142858</v>
      </c>
      <c r="AU92" s="656">
        <f t="shared" si="98"/>
        <v>1</v>
      </c>
      <c r="AV92" s="656">
        <f t="shared" si="99"/>
        <v>0.9642857142857143</v>
      </c>
      <c r="AW92" s="656">
        <f t="shared" si="100"/>
        <v>0.92857142857142849</v>
      </c>
      <c r="AX92" s="656">
        <f t="shared" si="101"/>
        <v>0.89285714285714279</v>
      </c>
      <c r="AY92" s="657">
        <f t="shared" si="102"/>
        <v>0.85714285714285721</v>
      </c>
      <c r="AZ92" s="657">
        <f t="shared" si="103"/>
        <v>0.82142857142857151</v>
      </c>
      <c r="BA92" s="657" t="str">
        <f t="shared" si="104"/>
        <v>-</v>
      </c>
      <c r="BB92" s="657" t="str">
        <f t="shared" si="105"/>
        <v>-</v>
      </c>
      <c r="BC92" s="660" t="str">
        <f t="shared" si="106"/>
        <v>-</v>
      </c>
    </row>
    <row r="93" spans="1:55" x14ac:dyDescent="0.25">
      <c r="A93" s="842" t="s">
        <v>37</v>
      </c>
      <c r="B93" s="587" t="s">
        <v>9</v>
      </c>
      <c r="C93" s="588">
        <v>2</v>
      </c>
      <c r="D93" s="589">
        <v>12</v>
      </c>
      <c r="E93" s="590">
        <v>30</v>
      </c>
      <c r="F93" s="590">
        <v>295</v>
      </c>
      <c r="G93" s="590">
        <v>52</v>
      </c>
      <c r="H93" s="590">
        <v>65</v>
      </c>
      <c r="I93" s="587">
        <v>10</v>
      </c>
      <c r="J93" s="587">
        <v>2.9</v>
      </c>
      <c r="K93" s="588">
        <v>6</v>
      </c>
      <c r="L93" s="591">
        <f t="shared" si="233"/>
        <v>17.931034482758623</v>
      </c>
      <c r="M93" s="592">
        <f t="shared" si="237"/>
        <v>1.4942528735632186</v>
      </c>
      <c r="N93" s="593">
        <f t="shared" ref="N93:W114" si="262">IF(AND(N$2&lt;=$F93,($E93-$I93*N$2/100)/$J93&gt;0),($E93-$I93*N$2/100)/$J93,"-")</f>
        <v>10.344827586206897</v>
      </c>
      <c r="O93" s="594">
        <f t="shared" si="262"/>
        <v>8.6206896551724146</v>
      </c>
      <c r="P93" s="594">
        <f t="shared" si="262"/>
        <v>6.8965517241379315</v>
      </c>
      <c r="Q93" s="594">
        <f t="shared" si="262"/>
        <v>5.1724137931034484</v>
      </c>
      <c r="R93" s="595">
        <f t="shared" si="262"/>
        <v>3.4482758620689657</v>
      </c>
      <c r="S93" s="595">
        <f t="shared" si="262"/>
        <v>1.7241379310344829</v>
      </c>
      <c r="T93" s="595" t="str">
        <f t="shared" si="262"/>
        <v>-</v>
      </c>
      <c r="U93" s="595" t="str">
        <f t="shared" si="262"/>
        <v>-</v>
      </c>
      <c r="V93" s="595" t="str">
        <f t="shared" si="262"/>
        <v>-</v>
      </c>
      <c r="W93" s="596" t="str">
        <f t="shared" si="262"/>
        <v>-</v>
      </c>
      <c r="X93" s="594" t="str">
        <f t="shared" ref="X93:AH114" si="263">IF(AND(X$2&lt;=$F93,($E93-$I93*X$2/100)/$J93&gt;0),($E93-$I93*X$2/100)/$J93,"-")</f>
        <v>-</v>
      </c>
      <c r="Y93" s="594" t="str">
        <f t="shared" si="263"/>
        <v>-</v>
      </c>
      <c r="Z93" s="597" t="str">
        <f t="shared" si="263"/>
        <v>-</v>
      </c>
      <c r="AA93" s="594" t="str">
        <f t="shared" si="263"/>
        <v>-</v>
      </c>
      <c r="AB93" s="594" t="str">
        <f t="shared" si="263"/>
        <v>-</v>
      </c>
      <c r="AC93" s="594" t="str">
        <f t="shared" si="263"/>
        <v>-</v>
      </c>
      <c r="AD93" s="595" t="str">
        <f t="shared" si="263"/>
        <v>-</v>
      </c>
      <c r="AE93" s="595" t="str">
        <f t="shared" si="263"/>
        <v>-</v>
      </c>
      <c r="AF93" s="595" t="str">
        <f t="shared" si="263"/>
        <v>-</v>
      </c>
      <c r="AG93" s="595" t="str">
        <f t="shared" si="263"/>
        <v>-</v>
      </c>
      <c r="AH93" s="596" t="str">
        <f t="shared" si="263"/>
        <v>-</v>
      </c>
      <c r="AI93" s="593">
        <f t="shared" si="86"/>
        <v>0.86206896551724144</v>
      </c>
      <c r="AJ93" s="594">
        <f t="shared" si="87"/>
        <v>0.71839080459770122</v>
      </c>
      <c r="AK93" s="594">
        <f t="shared" si="88"/>
        <v>0.57471264367816099</v>
      </c>
      <c r="AL93" s="594">
        <f t="shared" si="89"/>
        <v>0.43103448275862072</v>
      </c>
      <c r="AM93" s="595">
        <f t="shared" si="90"/>
        <v>0.2873563218390805</v>
      </c>
      <c r="AN93" s="595">
        <f t="shared" si="91"/>
        <v>0.14367816091954025</v>
      </c>
      <c r="AO93" s="595" t="str">
        <f t="shared" si="92"/>
        <v>-</v>
      </c>
      <c r="AP93" s="595" t="str">
        <f t="shared" si="93"/>
        <v>-</v>
      </c>
      <c r="AQ93" s="595" t="str">
        <f t="shared" si="94"/>
        <v>-</v>
      </c>
      <c r="AR93" s="595" t="str">
        <f t="shared" si="95"/>
        <v>-</v>
      </c>
      <c r="AS93" s="594" t="str">
        <f t="shared" si="96"/>
        <v>-</v>
      </c>
      <c r="AT93" s="594" t="str">
        <f t="shared" si="97"/>
        <v>-</v>
      </c>
      <c r="AU93" s="594" t="str">
        <f t="shared" si="98"/>
        <v>-</v>
      </c>
      <c r="AV93" s="595" t="str">
        <f t="shared" si="99"/>
        <v>-</v>
      </c>
      <c r="AW93" s="595" t="str">
        <f t="shared" si="100"/>
        <v>-</v>
      </c>
      <c r="AX93" s="595" t="str">
        <f t="shared" si="101"/>
        <v>-</v>
      </c>
      <c r="AY93" s="595" t="str">
        <f t="shared" si="102"/>
        <v>-</v>
      </c>
      <c r="AZ93" s="595" t="str">
        <f t="shared" si="103"/>
        <v>-</v>
      </c>
      <c r="BA93" s="595" t="str">
        <f t="shared" si="104"/>
        <v>-</v>
      </c>
      <c r="BB93" s="595" t="str">
        <f t="shared" si="105"/>
        <v>-</v>
      </c>
      <c r="BC93" s="598" t="str">
        <f t="shared" si="106"/>
        <v>-</v>
      </c>
    </row>
    <row r="94" spans="1:55" x14ac:dyDescent="0.25">
      <c r="A94" s="843"/>
      <c r="B94" s="599" t="s">
        <v>10</v>
      </c>
      <c r="C94" s="600">
        <v>4</v>
      </c>
      <c r="D94" s="601">
        <v>12</v>
      </c>
      <c r="E94" s="602">
        <v>46</v>
      </c>
      <c r="F94" s="602">
        <v>380</v>
      </c>
      <c r="G94" s="602">
        <v>52</v>
      </c>
      <c r="H94" s="602">
        <v>82</v>
      </c>
      <c r="I94" s="599">
        <v>10</v>
      </c>
      <c r="J94" s="599">
        <v>2.2999999999999998</v>
      </c>
      <c r="K94" s="600">
        <v>8</v>
      </c>
      <c r="L94" s="603">
        <f t="shared" si="233"/>
        <v>22.608695652173914</v>
      </c>
      <c r="M94" s="604">
        <f t="shared" si="237"/>
        <v>1.8840579710144929</v>
      </c>
      <c r="N94" s="605">
        <f t="shared" si="262"/>
        <v>20</v>
      </c>
      <c r="O94" s="606">
        <f t="shared" si="262"/>
        <v>17.826086956521742</v>
      </c>
      <c r="P94" s="606">
        <f t="shared" si="262"/>
        <v>15.65217391304348</v>
      </c>
      <c r="Q94" s="606">
        <f t="shared" si="262"/>
        <v>13.478260869565219</v>
      </c>
      <c r="R94" s="607">
        <f t="shared" si="262"/>
        <v>11.304347826086957</v>
      </c>
      <c r="S94" s="607">
        <f t="shared" si="262"/>
        <v>9.1304347826086971</v>
      </c>
      <c r="T94" s="608">
        <f t="shared" si="262"/>
        <v>6.9565217391304355</v>
      </c>
      <c r="U94" s="608">
        <f t="shared" si="262"/>
        <v>4.7826086956521747</v>
      </c>
      <c r="V94" s="608" t="str">
        <f t="shared" si="262"/>
        <v>-</v>
      </c>
      <c r="W94" s="609" t="str">
        <f t="shared" si="262"/>
        <v>-</v>
      </c>
      <c r="X94" s="606" t="str">
        <f t="shared" si="263"/>
        <v>-</v>
      </c>
      <c r="Y94" s="606" t="str">
        <f t="shared" si="263"/>
        <v>-</v>
      </c>
      <c r="Z94" s="610" t="str">
        <f t="shared" si="263"/>
        <v>-</v>
      </c>
      <c r="AA94" s="606" t="str">
        <f t="shared" si="263"/>
        <v>-</v>
      </c>
      <c r="AB94" s="606" t="str">
        <f t="shared" si="263"/>
        <v>-</v>
      </c>
      <c r="AC94" s="606" t="str">
        <f t="shared" si="263"/>
        <v>-</v>
      </c>
      <c r="AD94" s="607" t="str">
        <f t="shared" si="263"/>
        <v>-</v>
      </c>
      <c r="AE94" s="607" t="str">
        <f t="shared" si="263"/>
        <v>-</v>
      </c>
      <c r="AF94" s="608" t="str">
        <f t="shared" si="263"/>
        <v>-</v>
      </c>
      <c r="AG94" s="608" t="str">
        <f t="shared" si="263"/>
        <v>-</v>
      </c>
      <c r="AH94" s="609" t="str">
        <f t="shared" si="263"/>
        <v>-</v>
      </c>
      <c r="AI94" s="605">
        <f t="shared" si="86"/>
        <v>1.6666666666666667</v>
      </c>
      <c r="AJ94" s="606">
        <f t="shared" si="87"/>
        <v>1.4855072463768118</v>
      </c>
      <c r="AK94" s="606">
        <f t="shared" si="88"/>
        <v>1.3043478260869568</v>
      </c>
      <c r="AL94" s="606">
        <f t="shared" si="89"/>
        <v>1.1231884057971016</v>
      </c>
      <c r="AM94" s="608">
        <f t="shared" si="90"/>
        <v>0.94202898550724645</v>
      </c>
      <c r="AN94" s="608">
        <f t="shared" si="91"/>
        <v>0.76086956521739146</v>
      </c>
      <c r="AO94" s="608">
        <f t="shared" si="92"/>
        <v>0.57971014492753625</v>
      </c>
      <c r="AP94" s="608">
        <f t="shared" si="93"/>
        <v>0.39855072463768121</v>
      </c>
      <c r="AQ94" s="608" t="str">
        <f t="shared" si="94"/>
        <v>-</v>
      </c>
      <c r="AR94" s="608" t="str">
        <f t="shared" si="95"/>
        <v>-</v>
      </c>
      <c r="AS94" s="606" t="str">
        <f t="shared" si="96"/>
        <v>-</v>
      </c>
      <c r="AT94" s="606" t="str">
        <f t="shared" si="97"/>
        <v>-</v>
      </c>
      <c r="AU94" s="606" t="str">
        <f t="shared" si="98"/>
        <v>-</v>
      </c>
      <c r="AV94" s="608" t="str">
        <f t="shared" si="99"/>
        <v>-</v>
      </c>
      <c r="AW94" s="608" t="str">
        <f t="shared" si="100"/>
        <v>-</v>
      </c>
      <c r="AX94" s="608" t="str">
        <f t="shared" si="101"/>
        <v>-</v>
      </c>
      <c r="AY94" s="608" t="str">
        <f t="shared" si="102"/>
        <v>-</v>
      </c>
      <c r="AZ94" s="608" t="str">
        <f t="shared" si="103"/>
        <v>-</v>
      </c>
      <c r="BA94" s="608" t="str">
        <f t="shared" si="104"/>
        <v>-</v>
      </c>
      <c r="BB94" s="608" t="str">
        <f t="shared" si="105"/>
        <v>-</v>
      </c>
      <c r="BC94" s="611" t="str">
        <f t="shared" si="106"/>
        <v>-</v>
      </c>
    </row>
    <row r="95" spans="1:55" x14ac:dyDescent="0.25">
      <c r="A95" s="843"/>
      <c r="B95" s="599" t="s">
        <v>11</v>
      </c>
      <c r="C95" s="600">
        <v>6</v>
      </c>
      <c r="D95" s="601">
        <v>12</v>
      </c>
      <c r="E95" s="602">
        <v>60</v>
      </c>
      <c r="F95" s="602">
        <v>510</v>
      </c>
      <c r="G95" s="602">
        <v>52</v>
      </c>
      <c r="H95" s="602">
        <v>98</v>
      </c>
      <c r="I95" s="599">
        <v>10</v>
      </c>
      <c r="J95" s="599">
        <v>2.2000000000000002</v>
      </c>
      <c r="K95" s="600">
        <v>12</v>
      </c>
      <c r="L95" s="603">
        <f t="shared" si="233"/>
        <v>23.636363636363633</v>
      </c>
      <c r="M95" s="604">
        <f t="shared" si="237"/>
        <v>1.9696969696969695</v>
      </c>
      <c r="N95" s="605">
        <f t="shared" si="262"/>
        <v>27.27272727272727</v>
      </c>
      <c r="O95" s="606">
        <f t="shared" si="262"/>
        <v>24.999999999999996</v>
      </c>
      <c r="P95" s="606">
        <f t="shared" si="262"/>
        <v>22.727272727272727</v>
      </c>
      <c r="Q95" s="606">
        <f t="shared" si="262"/>
        <v>20.454545454545453</v>
      </c>
      <c r="R95" s="606">
        <f t="shared" si="262"/>
        <v>18.18181818181818</v>
      </c>
      <c r="S95" s="606">
        <f t="shared" si="262"/>
        <v>15.909090909090908</v>
      </c>
      <c r="T95" s="608">
        <f t="shared" si="262"/>
        <v>13.636363636363635</v>
      </c>
      <c r="U95" s="608">
        <f t="shared" si="262"/>
        <v>11.363636363636363</v>
      </c>
      <c r="V95" s="608">
        <f t="shared" si="262"/>
        <v>9.0909090909090899</v>
      </c>
      <c r="W95" s="609">
        <f t="shared" si="262"/>
        <v>6.8181818181818175</v>
      </c>
      <c r="X95" s="606">
        <f t="shared" si="263"/>
        <v>4.545454545454545</v>
      </c>
      <c r="Y95" s="606" t="str">
        <f t="shared" si="263"/>
        <v>-</v>
      </c>
      <c r="Z95" s="610" t="str">
        <f t="shared" si="263"/>
        <v>-</v>
      </c>
      <c r="AA95" s="606" t="str">
        <f t="shared" si="263"/>
        <v>-</v>
      </c>
      <c r="AB95" s="606" t="str">
        <f t="shared" si="263"/>
        <v>-</v>
      </c>
      <c r="AC95" s="606" t="str">
        <f t="shared" si="263"/>
        <v>-</v>
      </c>
      <c r="AD95" s="606" t="str">
        <f t="shared" si="263"/>
        <v>-</v>
      </c>
      <c r="AE95" s="606" t="str">
        <f t="shared" si="263"/>
        <v>-</v>
      </c>
      <c r="AF95" s="608" t="str">
        <f t="shared" si="263"/>
        <v>-</v>
      </c>
      <c r="AG95" s="608" t="str">
        <f t="shared" si="263"/>
        <v>-</v>
      </c>
      <c r="AH95" s="609" t="str">
        <f t="shared" si="263"/>
        <v>-</v>
      </c>
      <c r="AI95" s="605">
        <f t="shared" si="86"/>
        <v>2.2727272727272725</v>
      </c>
      <c r="AJ95" s="606">
        <f t="shared" si="87"/>
        <v>2.083333333333333</v>
      </c>
      <c r="AK95" s="606">
        <f t="shared" si="88"/>
        <v>1.8939393939393938</v>
      </c>
      <c r="AL95" s="606">
        <f t="shared" si="89"/>
        <v>1.7045454545454544</v>
      </c>
      <c r="AM95" s="606">
        <f t="shared" si="90"/>
        <v>1.5151515151515149</v>
      </c>
      <c r="AN95" s="606">
        <f t="shared" si="91"/>
        <v>1.3257575757575757</v>
      </c>
      <c r="AO95" s="608">
        <f t="shared" si="92"/>
        <v>1.1363636363636362</v>
      </c>
      <c r="AP95" s="608">
        <f t="shared" si="93"/>
        <v>0.94696969696969691</v>
      </c>
      <c r="AQ95" s="608">
        <f t="shared" si="94"/>
        <v>0.75757575757575746</v>
      </c>
      <c r="AR95" s="608">
        <f t="shared" si="95"/>
        <v>0.56818181818181812</v>
      </c>
      <c r="AS95" s="606">
        <f t="shared" si="96"/>
        <v>0.37878787878787873</v>
      </c>
      <c r="AT95" s="606" t="str">
        <f t="shared" si="97"/>
        <v>-</v>
      </c>
      <c r="AU95" s="606" t="str">
        <f t="shared" si="98"/>
        <v>-</v>
      </c>
      <c r="AV95" s="606" t="str">
        <f t="shared" si="99"/>
        <v>-</v>
      </c>
      <c r="AW95" s="606" t="str">
        <f t="shared" si="100"/>
        <v>-</v>
      </c>
      <c r="AX95" s="608" t="str">
        <f t="shared" si="101"/>
        <v>-</v>
      </c>
      <c r="AY95" s="608" t="str">
        <f t="shared" si="102"/>
        <v>-</v>
      </c>
      <c r="AZ95" s="608" t="str">
        <f t="shared" si="103"/>
        <v>-</v>
      </c>
      <c r="BA95" s="608" t="str">
        <f t="shared" si="104"/>
        <v>-</v>
      </c>
      <c r="BB95" s="608" t="str">
        <f t="shared" si="105"/>
        <v>-</v>
      </c>
      <c r="BC95" s="611" t="str">
        <f t="shared" si="106"/>
        <v>-</v>
      </c>
    </row>
    <row r="96" spans="1:55" ht="15.75" thickBot="1" x14ac:dyDescent="0.3">
      <c r="A96" s="844"/>
      <c r="B96" s="649" t="s">
        <v>23</v>
      </c>
      <c r="C96" s="650">
        <v>8</v>
      </c>
      <c r="D96" s="651">
        <v>12</v>
      </c>
      <c r="E96" s="652">
        <v>70</v>
      </c>
      <c r="F96" s="652">
        <v>605</v>
      </c>
      <c r="G96" s="652">
        <v>52</v>
      </c>
      <c r="H96" s="652">
        <v>116</v>
      </c>
      <c r="I96" s="649">
        <v>10</v>
      </c>
      <c r="J96" s="649">
        <v>2.1</v>
      </c>
      <c r="K96" s="650">
        <v>16</v>
      </c>
      <c r="L96" s="653">
        <f t="shared" si="233"/>
        <v>24.761904761904759</v>
      </c>
      <c r="M96" s="654">
        <f t="shared" si="237"/>
        <v>2.0634920634920633</v>
      </c>
      <c r="N96" s="655">
        <f t="shared" si="262"/>
        <v>33.333333333333329</v>
      </c>
      <c r="O96" s="656">
        <f t="shared" si="262"/>
        <v>30.952380952380953</v>
      </c>
      <c r="P96" s="656">
        <f t="shared" si="262"/>
        <v>28.571428571428569</v>
      </c>
      <c r="Q96" s="656">
        <f t="shared" si="262"/>
        <v>26.19047619047619</v>
      </c>
      <c r="R96" s="656">
        <f t="shared" si="262"/>
        <v>23.80952380952381</v>
      </c>
      <c r="S96" s="656">
        <f t="shared" si="262"/>
        <v>21.428571428571427</v>
      </c>
      <c r="T96" s="657">
        <f t="shared" si="262"/>
        <v>19.047619047619047</v>
      </c>
      <c r="U96" s="657">
        <f t="shared" si="262"/>
        <v>16.666666666666664</v>
      </c>
      <c r="V96" s="657">
        <f t="shared" si="262"/>
        <v>14.285714285714285</v>
      </c>
      <c r="W96" s="658">
        <f t="shared" si="262"/>
        <v>11.904761904761905</v>
      </c>
      <c r="X96" s="656">
        <f t="shared" si="263"/>
        <v>9.5238095238095237</v>
      </c>
      <c r="Y96" s="656">
        <f t="shared" si="263"/>
        <v>7.1428571428571423</v>
      </c>
      <c r="Z96" s="659">
        <f t="shared" si="263"/>
        <v>4.7619047619047619</v>
      </c>
      <c r="AA96" s="656" t="str">
        <f t="shared" si="263"/>
        <v>-</v>
      </c>
      <c r="AB96" s="656" t="str">
        <f t="shared" si="263"/>
        <v>-</v>
      </c>
      <c r="AC96" s="656" t="str">
        <f t="shared" si="263"/>
        <v>-</v>
      </c>
      <c r="AD96" s="656" t="str">
        <f t="shared" si="263"/>
        <v>-</v>
      </c>
      <c r="AE96" s="656" t="str">
        <f t="shared" si="263"/>
        <v>-</v>
      </c>
      <c r="AF96" s="657" t="str">
        <f t="shared" si="263"/>
        <v>-</v>
      </c>
      <c r="AG96" s="657" t="str">
        <f t="shared" si="263"/>
        <v>-</v>
      </c>
      <c r="AH96" s="658" t="str">
        <f t="shared" si="263"/>
        <v>-</v>
      </c>
      <c r="AI96" s="655">
        <f t="shared" ref="AI96" si="264">IF(N$2&lt;=$F96,N96/$D96,"-")</f>
        <v>2.7777777777777772</v>
      </c>
      <c r="AJ96" s="656">
        <f t="shared" ref="AJ96" si="265">IF(O$2&lt;=$F96,O96/$D96,"-")</f>
        <v>2.5793650793650795</v>
      </c>
      <c r="AK96" s="656">
        <f t="shared" ref="AK96" si="266">IF(P$2&lt;=$F96,P96/$D96,"-")</f>
        <v>2.3809523809523809</v>
      </c>
      <c r="AL96" s="656">
        <f t="shared" ref="AL96" si="267">IF(Q$2&lt;=$F96,Q96/$D96,"-")</f>
        <v>2.1825396825396823</v>
      </c>
      <c r="AM96" s="656">
        <f t="shared" ref="AM96" si="268">IF(R$2&lt;=$F96,R96/$D96,"-")</f>
        <v>1.9841269841269842</v>
      </c>
      <c r="AN96" s="656">
        <f t="shared" ref="AN96" si="269">IF(S$2&lt;=$F96,S96/$D96,"-")</f>
        <v>1.7857142857142856</v>
      </c>
      <c r="AO96" s="657">
        <f t="shared" ref="AO96" si="270">IF(T$2&lt;=$F96,T96/$D96,"-")</f>
        <v>1.5873015873015872</v>
      </c>
      <c r="AP96" s="657">
        <f t="shared" ref="AP96" si="271">IF(U$2&lt;=$F96,U96/$D96,"-")</f>
        <v>1.3888888888888886</v>
      </c>
      <c r="AQ96" s="657">
        <f t="shared" ref="AQ96" si="272">IF(V$2&lt;=$F96,V96/$D96,"-")</f>
        <v>1.1904761904761905</v>
      </c>
      <c r="AR96" s="657">
        <f t="shared" ref="AR96" si="273">IF(W$2&lt;=$F96,W96/$D96,"-")</f>
        <v>0.99206349206349209</v>
      </c>
      <c r="AS96" s="656">
        <f t="shared" ref="AS96" si="274">IF(X$2&lt;=$F96,X96/$D96,"-")</f>
        <v>0.79365079365079361</v>
      </c>
      <c r="AT96" s="656">
        <f t="shared" ref="AT96" si="275">IF(Y$2&lt;=$F96,Y96/$D96,"-")</f>
        <v>0.59523809523809523</v>
      </c>
      <c r="AU96" s="656">
        <f t="shared" ref="AU96" si="276">IF(Z$2&lt;=$F96,Z96/$D96,"-")</f>
        <v>0.3968253968253968</v>
      </c>
      <c r="AV96" s="656" t="str">
        <f t="shared" ref="AV96" si="277">IF(AA$2&lt;=$F96,AA96/$D96,"-")</f>
        <v>-</v>
      </c>
      <c r="AW96" s="656" t="str">
        <f t="shared" ref="AW96" si="278">IF(AB$2&lt;=$F96,AB96/$D96,"-")</f>
        <v>-</v>
      </c>
      <c r="AX96" s="657" t="str">
        <f t="shared" ref="AX96" si="279">IF(AC$2&lt;=$F96,AC96/$D96,"-")</f>
        <v>-</v>
      </c>
      <c r="AY96" s="657" t="str">
        <f t="shared" ref="AY96" si="280">IF(AD$2&lt;=$F96,AD96/$D96,"-")</f>
        <v>-</v>
      </c>
      <c r="AZ96" s="657" t="str">
        <f t="shared" ref="AZ96" si="281">IF(AE$2&lt;=$F96,AE96/$D96,"-")</f>
        <v>-</v>
      </c>
      <c r="BA96" s="657" t="str">
        <f t="shared" ref="BA96" si="282">IF(AF$2&lt;=$F96,AF96/$D96,"-")</f>
        <v>-</v>
      </c>
      <c r="BB96" s="657" t="str">
        <f t="shared" ref="BB96" si="283">IF(AG$2&lt;=$F96,AG96/$D96,"-")</f>
        <v>-</v>
      </c>
      <c r="BC96" s="660" t="str">
        <f t="shared" ref="BC96" si="284">IF(AH$2&lt;=$F96,AH96/$D96,"-")</f>
        <v>-</v>
      </c>
    </row>
    <row r="97" spans="1:55" ht="15.75" thickBot="1" x14ac:dyDescent="0.3">
      <c r="A97" s="661" t="s">
        <v>205</v>
      </c>
      <c r="B97" s="612" t="s">
        <v>24</v>
      </c>
      <c r="C97" s="613">
        <v>8</v>
      </c>
      <c r="D97" s="614">
        <v>12</v>
      </c>
      <c r="E97" s="615">
        <v>100</v>
      </c>
      <c r="F97" s="615">
        <v>750</v>
      </c>
      <c r="G97" s="615">
        <v>64</v>
      </c>
      <c r="H97" s="615">
        <v>900</v>
      </c>
      <c r="I97" s="612">
        <v>4</v>
      </c>
      <c r="J97" s="612">
        <v>2</v>
      </c>
      <c r="K97" s="613"/>
      <c r="L97" s="616">
        <f t="shared" si="233"/>
        <v>32</v>
      </c>
      <c r="M97" s="617">
        <f t="shared" si="237"/>
        <v>2.6666666666666665</v>
      </c>
      <c r="N97" s="618">
        <f t="shared" si="262"/>
        <v>50</v>
      </c>
      <c r="O97" s="619">
        <f t="shared" si="262"/>
        <v>49</v>
      </c>
      <c r="P97" s="619">
        <f t="shared" si="262"/>
        <v>48</v>
      </c>
      <c r="Q97" s="619">
        <f t="shared" si="262"/>
        <v>47</v>
      </c>
      <c r="R97" s="619">
        <f t="shared" si="262"/>
        <v>46</v>
      </c>
      <c r="S97" s="619">
        <f t="shared" si="262"/>
        <v>45</v>
      </c>
      <c r="T97" s="619">
        <f t="shared" si="262"/>
        <v>44</v>
      </c>
      <c r="U97" s="620">
        <f t="shared" si="262"/>
        <v>43</v>
      </c>
      <c r="V97" s="620">
        <f t="shared" si="262"/>
        <v>42</v>
      </c>
      <c r="W97" s="621">
        <f t="shared" si="262"/>
        <v>41</v>
      </c>
      <c r="X97" s="619">
        <f t="shared" si="263"/>
        <v>40</v>
      </c>
      <c r="Y97" s="619">
        <f t="shared" si="263"/>
        <v>39</v>
      </c>
      <c r="Z97" s="622">
        <f t="shared" si="263"/>
        <v>38</v>
      </c>
      <c r="AA97" s="619">
        <f t="shared" si="263"/>
        <v>37</v>
      </c>
      <c r="AB97" s="619">
        <f t="shared" si="263"/>
        <v>36</v>
      </c>
      <c r="AC97" s="619">
        <f t="shared" si="263"/>
        <v>35</v>
      </c>
      <c r="AD97" s="619" t="str">
        <f t="shared" si="263"/>
        <v>-</v>
      </c>
      <c r="AE97" s="619" t="str">
        <f t="shared" si="263"/>
        <v>-</v>
      </c>
      <c r="AF97" s="619" t="str">
        <f t="shared" si="263"/>
        <v>-</v>
      </c>
      <c r="AG97" s="620" t="str">
        <f t="shared" si="263"/>
        <v>-</v>
      </c>
      <c r="AH97" s="621" t="str">
        <f t="shared" si="263"/>
        <v>-</v>
      </c>
      <c r="AI97" s="618">
        <f t="shared" ref="AI97:AR106" si="285">IF(N$2&lt;=$F97,N97/$D97,"-")</f>
        <v>4.166666666666667</v>
      </c>
      <c r="AJ97" s="619">
        <f t="shared" si="285"/>
        <v>4.083333333333333</v>
      </c>
      <c r="AK97" s="619">
        <f t="shared" si="285"/>
        <v>4</v>
      </c>
      <c r="AL97" s="619">
        <f t="shared" si="285"/>
        <v>3.9166666666666665</v>
      </c>
      <c r="AM97" s="619">
        <f t="shared" si="285"/>
        <v>3.8333333333333335</v>
      </c>
      <c r="AN97" s="619">
        <f t="shared" si="285"/>
        <v>3.75</v>
      </c>
      <c r="AO97" s="619">
        <f t="shared" si="285"/>
        <v>3.6666666666666665</v>
      </c>
      <c r="AP97" s="620">
        <f t="shared" si="285"/>
        <v>3.5833333333333335</v>
      </c>
      <c r="AQ97" s="620">
        <f t="shared" si="285"/>
        <v>3.5</v>
      </c>
      <c r="AR97" s="620">
        <f t="shared" si="285"/>
        <v>3.4166666666666665</v>
      </c>
      <c r="AS97" s="619">
        <f t="shared" ref="AS97:BB106" si="286">IF(X$2&lt;=$F97,X97/$D97,"-")</f>
        <v>3.3333333333333335</v>
      </c>
      <c r="AT97" s="619">
        <f t="shared" si="286"/>
        <v>3.25</v>
      </c>
      <c r="AU97" s="619">
        <f t="shared" si="286"/>
        <v>3.1666666666666665</v>
      </c>
      <c r="AV97" s="619">
        <f t="shared" si="286"/>
        <v>3.0833333333333335</v>
      </c>
      <c r="AW97" s="619">
        <f t="shared" si="286"/>
        <v>3</v>
      </c>
      <c r="AX97" s="619">
        <f t="shared" si="286"/>
        <v>2.9166666666666665</v>
      </c>
      <c r="AY97" s="620" t="str">
        <f t="shared" si="286"/>
        <v>-</v>
      </c>
      <c r="AZ97" s="620" t="str">
        <f t="shared" si="286"/>
        <v>-</v>
      </c>
      <c r="BA97" s="620" t="str">
        <f t="shared" si="286"/>
        <v>-</v>
      </c>
      <c r="BB97" s="620" t="str">
        <f t="shared" si="286"/>
        <v>-</v>
      </c>
      <c r="BC97" s="623" t="str">
        <f t="shared" ref="BC97:BC106" si="287">IF(AH$2&lt;=$F97,AH97/$D97,"-")</f>
        <v>-</v>
      </c>
    </row>
    <row r="98" spans="1:55" ht="15.75" thickBot="1" x14ac:dyDescent="0.3">
      <c r="A98" s="661" t="s">
        <v>206</v>
      </c>
      <c r="B98" s="612" t="s">
        <v>24</v>
      </c>
      <c r="C98" s="613">
        <v>9</v>
      </c>
      <c r="D98" s="614">
        <v>12</v>
      </c>
      <c r="E98" s="615">
        <v>100</v>
      </c>
      <c r="F98" s="615">
        <v>800</v>
      </c>
      <c r="G98" s="615">
        <v>64</v>
      </c>
      <c r="H98" s="615">
        <v>500</v>
      </c>
      <c r="I98" s="612">
        <v>-25</v>
      </c>
      <c r="J98" s="612">
        <v>2</v>
      </c>
      <c r="K98" s="613"/>
      <c r="L98" s="616">
        <f t="shared" si="233"/>
        <v>32</v>
      </c>
      <c r="M98" s="617">
        <f t="shared" si="237"/>
        <v>2.6666666666666665</v>
      </c>
      <c r="N98" s="618">
        <f t="shared" si="262"/>
        <v>50</v>
      </c>
      <c r="O98" s="619">
        <f t="shared" si="262"/>
        <v>56.25</v>
      </c>
      <c r="P98" s="619">
        <f t="shared" si="262"/>
        <v>62.5</v>
      </c>
      <c r="Q98" s="619">
        <f t="shared" si="262"/>
        <v>68.75</v>
      </c>
      <c r="R98" s="619">
        <f t="shared" si="262"/>
        <v>75</v>
      </c>
      <c r="S98" s="619">
        <f t="shared" si="262"/>
        <v>81.25</v>
      </c>
      <c r="T98" s="619">
        <f t="shared" si="262"/>
        <v>87.5</v>
      </c>
      <c r="U98" s="620">
        <f t="shared" si="262"/>
        <v>93.75</v>
      </c>
      <c r="V98" s="620">
        <f t="shared" si="262"/>
        <v>100</v>
      </c>
      <c r="W98" s="621">
        <f t="shared" si="262"/>
        <v>106.25</v>
      </c>
      <c r="X98" s="619">
        <f t="shared" si="263"/>
        <v>112.5</v>
      </c>
      <c r="Y98" s="619">
        <f t="shared" si="263"/>
        <v>118.75</v>
      </c>
      <c r="Z98" s="622">
        <f t="shared" si="263"/>
        <v>125</v>
      </c>
      <c r="AA98" s="619">
        <f t="shared" si="263"/>
        <v>131.25</v>
      </c>
      <c r="AB98" s="619">
        <f t="shared" si="263"/>
        <v>137.5</v>
      </c>
      <c r="AC98" s="619">
        <f t="shared" si="263"/>
        <v>143.75</v>
      </c>
      <c r="AD98" s="619">
        <f t="shared" si="263"/>
        <v>150</v>
      </c>
      <c r="AE98" s="619" t="str">
        <f t="shared" si="263"/>
        <v>-</v>
      </c>
      <c r="AF98" s="619" t="str">
        <f t="shared" si="263"/>
        <v>-</v>
      </c>
      <c r="AG98" s="620" t="str">
        <f t="shared" si="263"/>
        <v>-</v>
      </c>
      <c r="AH98" s="621" t="str">
        <f t="shared" si="263"/>
        <v>-</v>
      </c>
      <c r="AI98" s="618">
        <f t="shared" si="285"/>
        <v>4.166666666666667</v>
      </c>
      <c r="AJ98" s="619">
        <f t="shared" si="285"/>
        <v>4.6875</v>
      </c>
      <c r="AK98" s="619">
        <f t="shared" si="285"/>
        <v>5.208333333333333</v>
      </c>
      <c r="AL98" s="619">
        <f t="shared" si="285"/>
        <v>5.729166666666667</v>
      </c>
      <c r="AM98" s="619">
        <f t="shared" si="285"/>
        <v>6.25</v>
      </c>
      <c r="AN98" s="619">
        <f t="shared" si="285"/>
        <v>6.770833333333333</v>
      </c>
      <c r="AO98" s="619">
        <f t="shared" si="285"/>
        <v>7.291666666666667</v>
      </c>
      <c r="AP98" s="620">
        <f t="shared" si="285"/>
        <v>7.8125</v>
      </c>
      <c r="AQ98" s="620">
        <f t="shared" si="285"/>
        <v>8.3333333333333339</v>
      </c>
      <c r="AR98" s="620">
        <f t="shared" si="285"/>
        <v>8.8541666666666661</v>
      </c>
      <c r="AS98" s="619">
        <f t="shared" si="286"/>
        <v>9.375</v>
      </c>
      <c r="AT98" s="619">
        <f t="shared" si="286"/>
        <v>9.8958333333333339</v>
      </c>
      <c r="AU98" s="619">
        <f t="shared" si="286"/>
        <v>10.416666666666666</v>
      </c>
      <c r="AV98" s="619">
        <f t="shared" si="286"/>
        <v>10.9375</v>
      </c>
      <c r="AW98" s="619">
        <f t="shared" si="286"/>
        <v>11.458333333333334</v>
      </c>
      <c r="AX98" s="619">
        <f t="shared" si="286"/>
        <v>11.979166666666666</v>
      </c>
      <c r="AY98" s="620">
        <f t="shared" si="286"/>
        <v>12.5</v>
      </c>
      <c r="AZ98" s="620" t="str">
        <f t="shared" si="286"/>
        <v>-</v>
      </c>
      <c r="BA98" s="620" t="str">
        <f t="shared" si="286"/>
        <v>-</v>
      </c>
      <c r="BB98" s="620" t="str">
        <f t="shared" si="286"/>
        <v>-</v>
      </c>
      <c r="BC98" s="623" t="str">
        <f t="shared" si="287"/>
        <v>-</v>
      </c>
    </row>
    <row r="99" spans="1:55" ht="15.75" thickBot="1" x14ac:dyDescent="0.3">
      <c r="A99" s="661" t="s">
        <v>207</v>
      </c>
      <c r="B99" s="612" t="s">
        <v>24</v>
      </c>
      <c r="C99" s="613">
        <v>9</v>
      </c>
      <c r="D99" s="614">
        <v>12</v>
      </c>
      <c r="E99" s="615">
        <v>200</v>
      </c>
      <c r="F99" s="615">
        <v>800</v>
      </c>
      <c r="G99" s="615">
        <v>64</v>
      </c>
      <c r="H99" s="615">
        <v>1000</v>
      </c>
      <c r="I99" s="612">
        <v>4</v>
      </c>
      <c r="J99" s="612">
        <v>3.5</v>
      </c>
      <c r="K99" s="613"/>
      <c r="L99" s="616">
        <f t="shared" si="233"/>
        <v>18.285714285714285</v>
      </c>
      <c r="M99" s="617">
        <f t="shared" si="237"/>
        <v>1.5238095238095237</v>
      </c>
      <c r="N99" s="618">
        <f t="shared" si="262"/>
        <v>57.142857142857146</v>
      </c>
      <c r="O99" s="619">
        <f t="shared" si="262"/>
        <v>56.571428571428569</v>
      </c>
      <c r="P99" s="619">
        <f t="shared" si="262"/>
        <v>56</v>
      </c>
      <c r="Q99" s="619">
        <f t="shared" si="262"/>
        <v>55.428571428571431</v>
      </c>
      <c r="R99" s="619">
        <f t="shared" si="262"/>
        <v>54.857142857142854</v>
      </c>
      <c r="S99" s="619">
        <f t="shared" si="262"/>
        <v>54.285714285714285</v>
      </c>
      <c r="T99" s="619">
        <f t="shared" si="262"/>
        <v>53.714285714285715</v>
      </c>
      <c r="U99" s="620">
        <f t="shared" si="262"/>
        <v>53.142857142857146</v>
      </c>
      <c r="V99" s="620">
        <f t="shared" si="262"/>
        <v>52.571428571428569</v>
      </c>
      <c r="W99" s="621">
        <f t="shared" si="262"/>
        <v>52</v>
      </c>
      <c r="X99" s="619">
        <f t="shared" si="263"/>
        <v>51.428571428571431</v>
      </c>
      <c r="Y99" s="619">
        <f t="shared" si="263"/>
        <v>50.857142857142854</v>
      </c>
      <c r="Z99" s="622">
        <f t="shared" si="263"/>
        <v>50.285714285714285</v>
      </c>
      <c r="AA99" s="619">
        <f t="shared" si="263"/>
        <v>49.714285714285715</v>
      </c>
      <c r="AB99" s="619">
        <f t="shared" si="263"/>
        <v>49.142857142857146</v>
      </c>
      <c r="AC99" s="619">
        <f t="shared" si="263"/>
        <v>48.571428571428569</v>
      </c>
      <c r="AD99" s="619">
        <f t="shared" si="263"/>
        <v>48</v>
      </c>
      <c r="AE99" s="619" t="str">
        <f t="shared" si="263"/>
        <v>-</v>
      </c>
      <c r="AF99" s="619" t="str">
        <f t="shared" si="263"/>
        <v>-</v>
      </c>
      <c r="AG99" s="620" t="str">
        <f t="shared" si="263"/>
        <v>-</v>
      </c>
      <c r="AH99" s="621" t="str">
        <f t="shared" si="263"/>
        <v>-</v>
      </c>
      <c r="AI99" s="618">
        <f t="shared" si="285"/>
        <v>4.7619047619047619</v>
      </c>
      <c r="AJ99" s="619">
        <f t="shared" si="285"/>
        <v>4.7142857142857144</v>
      </c>
      <c r="AK99" s="619">
        <f t="shared" si="285"/>
        <v>4.666666666666667</v>
      </c>
      <c r="AL99" s="619">
        <f t="shared" si="285"/>
        <v>4.6190476190476195</v>
      </c>
      <c r="AM99" s="619">
        <f t="shared" si="285"/>
        <v>4.5714285714285712</v>
      </c>
      <c r="AN99" s="619">
        <f t="shared" si="285"/>
        <v>4.5238095238095237</v>
      </c>
      <c r="AO99" s="619">
        <f t="shared" si="285"/>
        <v>4.4761904761904763</v>
      </c>
      <c r="AP99" s="620">
        <f t="shared" si="285"/>
        <v>4.4285714285714288</v>
      </c>
      <c r="AQ99" s="620">
        <f t="shared" si="285"/>
        <v>4.3809523809523805</v>
      </c>
      <c r="AR99" s="620">
        <f t="shared" si="285"/>
        <v>4.333333333333333</v>
      </c>
      <c r="AS99" s="619">
        <f t="shared" si="286"/>
        <v>4.2857142857142856</v>
      </c>
      <c r="AT99" s="619">
        <f t="shared" si="286"/>
        <v>4.2380952380952381</v>
      </c>
      <c r="AU99" s="619">
        <f t="shared" si="286"/>
        <v>4.1904761904761907</v>
      </c>
      <c r="AV99" s="619">
        <f t="shared" si="286"/>
        <v>4.1428571428571432</v>
      </c>
      <c r="AW99" s="619">
        <f t="shared" si="286"/>
        <v>4.0952380952380958</v>
      </c>
      <c r="AX99" s="619">
        <f t="shared" si="286"/>
        <v>4.0476190476190474</v>
      </c>
      <c r="AY99" s="620">
        <f t="shared" si="286"/>
        <v>4</v>
      </c>
      <c r="AZ99" s="620" t="str">
        <f t="shared" si="286"/>
        <v>-</v>
      </c>
      <c r="BA99" s="620" t="str">
        <f t="shared" si="286"/>
        <v>-</v>
      </c>
      <c r="BB99" s="620" t="str">
        <f t="shared" si="286"/>
        <v>-</v>
      </c>
      <c r="BC99" s="623" t="str">
        <f t="shared" si="287"/>
        <v>-</v>
      </c>
    </row>
    <row r="100" spans="1:55" x14ac:dyDescent="0.25">
      <c r="A100" s="795" t="s">
        <v>220</v>
      </c>
      <c r="B100" s="531" t="s">
        <v>9</v>
      </c>
      <c r="C100" s="532">
        <v>2</v>
      </c>
      <c r="D100" s="583">
        <f>45/7</f>
        <v>6.4285714285714288</v>
      </c>
      <c r="E100" s="533">
        <v>9</v>
      </c>
      <c r="F100" s="533">
        <v>180</v>
      </c>
      <c r="G100" s="534" t="s">
        <v>24</v>
      </c>
      <c r="H100" s="533">
        <v>1200</v>
      </c>
      <c r="I100" s="535">
        <v>2</v>
      </c>
      <c r="J100" s="535">
        <v>1.05</v>
      </c>
      <c r="K100" s="536"/>
      <c r="L100" s="537" t="s">
        <v>24</v>
      </c>
      <c r="M100" s="537" t="s">
        <v>24</v>
      </c>
      <c r="N100" s="538">
        <f t="shared" ref="N100:W105" si="288">IF(AND(N$2&lt;=$F100,($E100-$I100*N$2/100)/$J100&gt;0),($E100-$I100*N$2/100)/$J100,"-")</f>
        <v>8.5714285714285712</v>
      </c>
      <c r="O100" s="539">
        <f t="shared" si="288"/>
        <v>7.6190476190476186</v>
      </c>
      <c r="P100" s="539">
        <f t="shared" si="288"/>
        <v>6.6666666666666661</v>
      </c>
      <c r="Q100" s="539">
        <f t="shared" si="288"/>
        <v>5.7142857142857144</v>
      </c>
      <c r="R100" s="539" t="str">
        <f t="shared" si="288"/>
        <v>-</v>
      </c>
      <c r="S100" s="539" t="str">
        <f t="shared" si="288"/>
        <v>-</v>
      </c>
      <c r="T100" s="539" t="str">
        <f t="shared" si="288"/>
        <v>-</v>
      </c>
      <c r="U100" s="540" t="str">
        <f t="shared" si="288"/>
        <v>-</v>
      </c>
      <c r="V100" s="540" t="str">
        <f t="shared" si="288"/>
        <v>-</v>
      </c>
      <c r="W100" s="541" t="str">
        <f t="shared" si="288"/>
        <v>-</v>
      </c>
      <c r="X100" s="539" t="str">
        <f t="shared" si="263"/>
        <v>-</v>
      </c>
      <c r="Y100" s="539" t="str">
        <f t="shared" si="263"/>
        <v>-</v>
      </c>
      <c r="Z100" s="542" t="str">
        <f t="shared" si="263"/>
        <v>-</v>
      </c>
      <c r="AA100" s="539" t="str">
        <f t="shared" si="263"/>
        <v>-</v>
      </c>
      <c r="AB100" s="539" t="str">
        <f t="shared" si="263"/>
        <v>-</v>
      </c>
      <c r="AC100" s="539" t="str">
        <f t="shared" si="263"/>
        <v>-</v>
      </c>
      <c r="AD100" s="539" t="str">
        <f t="shared" si="263"/>
        <v>-</v>
      </c>
      <c r="AE100" s="539" t="str">
        <f t="shared" si="263"/>
        <v>-</v>
      </c>
      <c r="AF100" s="539" t="str">
        <f t="shared" si="263"/>
        <v>-</v>
      </c>
      <c r="AG100" s="540" t="str">
        <f t="shared" si="263"/>
        <v>-</v>
      </c>
      <c r="AH100" s="541" t="str">
        <f t="shared" si="263"/>
        <v>-</v>
      </c>
      <c r="AI100" s="538">
        <f t="shared" ref="AI100:AR105" si="289">IF(N$2&lt;=$F100,N100/$D100,"-")</f>
        <v>1.3333333333333333</v>
      </c>
      <c r="AJ100" s="539">
        <f t="shared" si="289"/>
        <v>1.1851851851851851</v>
      </c>
      <c r="AK100" s="539">
        <f t="shared" si="289"/>
        <v>1.037037037037037</v>
      </c>
      <c r="AL100" s="539">
        <f t="shared" si="289"/>
        <v>0.88888888888888884</v>
      </c>
      <c r="AM100" s="539" t="str">
        <f t="shared" si="289"/>
        <v>-</v>
      </c>
      <c r="AN100" s="539" t="str">
        <f t="shared" si="289"/>
        <v>-</v>
      </c>
      <c r="AO100" s="539" t="str">
        <f t="shared" si="289"/>
        <v>-</v>
      </c>
      <c r="AP100" s="540" t="str">
        <f t="shared" si="289"/>
        <v>-</v>
      </c>
      <c r="AQ100" s="540" t="str">
        <f t="shared" si="289"/>
        <v>-</v>
      </c>
      <c r="AR100" s="540" t="str">
        <f t="shared" si="289"/>
        <v>-</v>
      </c>
      <c r="AS100" s="539" t="str">
        <f t="shared" si="286"/>
        <v>-</v>
      </c>
      <c r="AT100" s="539" t="str">
        <f t="shared" si="286"/>
        <v>-</v>
      </c>
      <c r="AU100" s="539" t="str">
        <f t="shared" si="286"/>
        <v>-</v>
      </c>
      <c r="AV100" s="539" t="str">
        <f t="shared" si="286"/>
        <v>-</v>
      </c>
      <c r="AW100" s="539" t="str">
        <f t="shared" si="286"/>
        <v>-</v>
      </c>
      <c r="AX100" s="539" t="str">
        <f t="shared" si="286"/>
        <v>-</v>
      </c>
      <c r="AY100" s="540" t="str">
        <f t="shared" si="286"/>
        <v>-</v>
      </c>
      <c r="AZ100" s="540" t="str">
        <f t="shared" si="286"/>
        <v>-</v>
      </c>
      <c r="BA100" s="540" t="str">
        <f t="shared" si="286"/>
        <v>-</v>
      </c>
      <c r="BB100" s="540" t="str">
        <f t="shared" si="286"/>
        <v>-</v>
      </c>
      <c r="BC100" s="543" t="str">
        <f t="shared" si="287"/>
        <v>-</v>
      </c>
    </row>
    <row r="101" spans="1:55" x14ac:dyDescent="0.25">
      <c r="A101" s="796"/>
      <c r="B101" s="544" t="s">
        <v>10</v>
      </c>
      <c r="C101" s="545">
        <v>4</v>
      </c>
      <c r="D101" s="584">
        <f t="shared" ref="D101:D105" si="290">45/7</f>
        <v>6.4285714285714288</v>
      </c>
      <c r="E101" s="546">
        <v>9</v>
      </c>
      <c r="F101" s="546">
        <v>220</v>
      </c>
      <c r="G101" s="546" t="s">
        <v>24</v>
      </c>
      <c r="H101" s="546">
        <v>1200</v>
      </c>
      <c r="I101" s="547">
        <v>2</v>
      </c>
      <c r="J101" s="547">
        <v>0.8</v>
      </c>
      <c r="K101" s="548"/>
      <c r="L101" s="549" t="s">
        <v>24</v>
      </c>
      <c r="M101" s="550" t="s">
        <v>24</v>
      </c>
      <c r="N101" s="551">
        <f t="shared" si="288"/>
        <v>11.25</v>
      </c>
      <c r="O101" s="552">
        <f t="shared" si="288"/>
        <v>10</v>
      </c>
      <c r="P101" s="552">
        <f t="shared" si="288"/>
        <v>8.75</v>
      </c>
      <c r="Q101" s="552">
        <f t="shared" si="288"/>
        <v>7.5</v>
      </c>
      <c r="R101" s="552">
        <f t="shared" si="288"/>
        <v>6.25</v>
      </c>
      <c r="S101" s="552" t="str">
        <f t="shared" si="288"/>
        <v>-</v>
      </c>
      <c r="T101" s="552" t="str">
        <f t="shared" si="288"/>
        <v>-</v>
      </c>
      <c r="U101" s="553" t="str">
        <f t="shared" si="288"/>
        <v>-</v>
      </c>
      <c r="V101" s="553" t="str">
        <f t="shared" si="288"/>
        <v>-</v>
      </c>
      <c r="W101" s="554" t="str">
        <f t="shared" si="288"/>
        <v>-</v>
      </c>
      <c r="X101" s="552" t="str">
        <f t="shared" si="263"/>
        <v>-</v>
      </c>
      <c r="Y101" s="552" t="str">
        <f t="shared" si="263"/>
        <v>-</v>
      </c>
      <c r="Z101" s="555" t="str">
        <f t="shared" si="263"/>
        <v>-</v>
      </c>
      <c r="AA101" s="552" t="str">
        <f t="shared" si="263"/>
        <v>-</v>
      </c>
      <c r="AB101" s="552" t="str">
        <f t="shared" si="263"/>
        <v>-</v>
      </c>
      <c r="AC101" s="552" t="str">
        <f t="shared" si="263"/>
        <v>-</v>
      </c>
      <c r="AD101" s="552" t="str">
        <f t="shared" si="263"/>
        <v>-</v>
      </c>
      <c r="AE101" s="552" t="str">
        <f t="shared" si="263"/>
        <v>-</v>
      </c>
      <c r="AF101" s="552" t="str">
        <f t="shared" si="263"/>
        <v>-</v>
      </c>
      <c r="AG101" s="553" t="str">
        <f t="shared" si="263"/>
        <v>-</v>
      </c>
      <c r="AH101" s="554" t="str">
        <f t="shared" si="263"/>
        <v>-</v>
      </c>
      <c r="AI101" s="551">
        <f t="shared" si="289"/>
        <v>1.75</v>
      </c>
      <c r="AJ101" s="552">
        <f t="shared" si="289"/>
        <v>1.5555555555555556</v>
      </c>
      <c r="AK101" s="552">
        <f t="shared" si="289"/>
        <v>1.3611111111111112</v>
      </c>
      <c r="AL101" s="552">
        <f t="shared" si="289"/>
        <v>1.1666666666666665</v>
      </c>
      <c r="AM101" s="552">
        <f t="shared" si="289"/>
        <v>0.97222222222222221</v>
      </c>
      <c r="AN101" s="552" t="str">
        <f t="shared" si="289"/>
        <v>-</v>
      </c>
      <c r="AO101" s="552" t="str">
        <f t="shared" si="289"/>
        <v>-</v>
      </c>
      <c r="AP101" s="553" t="str">
        <f t="shared" si="289"/>
        <v>-</v>
      </c>
      <c r="AQ101" s="553" t="str">
        <f t="shared" si="289"/>
        <v>-</v>
      </c>
      <c r="AR101" s="553" t="str">
        <f t="shared" si="289"/>
        <v>-</v>
      </c>
      <c r="AS101" s="552" t="str">
        <f t="shared" si="286"/>
        <v>-</v>
      </c>
      <c r="AT101" s="552" t="str">
        <f t="shared" si="286"/>
        <v>-</v>
      </c>
      <c r="AU101" s="552" t="str">
        <f t="shared" si="286"/>
        <v>-</v>
      </c>
      <c r="AV101" s="552" t="str">
        <f t="shared" si="286"/>
        <v>-</v>
      </c>
      <c r="AW101" s="552" t="str">
        <f t="shared" si="286"/>
        <v>-</v>
      </c>
      <c r="AX101" s="552" t="str">
        <f t="shared" si="286"/>
        <v>-</v>
      </c>
      <c r="AY101" s="553" t="str">
        <f t="shared" si="286"/>
        <v>-</v>
      </c>
      <c r="AZ101" s="553" t="str">
        <f t="shared" si="286"/>
        <v>-</v>
      </c>
      <c r="BA101" s="553" t="str">
        <f t="shared" si="286"/>
        <v>-</v>
      </c>
      <c r="BB101" s="553" t="str">
        <f t="shared" si="286"/>
        <v>-</v>
      </c>
      <c r="BC101" s="556" t="str">
        <f t="shared" si="287"/>
        <v>-</v>
      </c>
    </row>
    <row r="102" spans="1:55" ht="15.75" thickBot="1" x14ac:dyDescent="0.3">
      <c r="A102" s="797"/>
      <c r="B102" s="544" t="s">
        <v>11</v>
      </c>
      <c r="C102" s="545">
        <v>6</v>
      </c>
      <c r="D102" s="584">
        <f t="shared" si="290"/>
        <v>6.4285714285714288</v>
      </c>
      <c r="E102" s="546">
        <v>7</v>
      </c>
      <c r="F102" s="546">
        <v>260</v>
      </c>
      <c r="G102" s="546" t="s">
        <v>24</v>
      </c>
      <c r="H102" s="546">
        <v>1200</v>
      </c>
      <c r="I102" s="547">
        <v>2</v>
      </c>
      <c r="J102" s="547">
        <v>0.45</v>
      </c>
      <c r="K102" s="548"/>
      <c r="L102" s="549" t="s">
        <v>24</v>
      </c>
      <c r="M102" s="550" t="s">
        <v>24</v>
      </c>
      <c r="N102" s="551">
        <f t="shared" si="288"/>
        <v>15.555555555555555</v>
      </c>
      <c r="O102" s="552">
        <f t="shared" si="288"/>
        <v>13.333333333333332</v>
      </c>
      <c r="P102" s="552">
        <f t="shared" si="288"/>
        <v>11.111111111111111</v>
      </c>
      <c r="Q102" s="552">
        <f t="shared" si="288"/>
        <v>8.8888888888888893</v>
      </c>
      <c r="R102" s="552">
        <f t="shared" si="288"/>
        <v>6.6666666666666661</v>
      </c>
      <c r="S102" s="552">
        <f t="shared" si="288"/>
        <v>4.4444444444444446</v>
      </c>
      <c r="T102" s="552" t="str">
        <f t="shared" si="288"/>
        <v>-</v>
      </c>
      <c r="U102" s="553" t="str">
        <f t="shared" si="288"/>
        <v>-</v>
      </c>
      <c r="V102" s="553" t="str">
        <f t="shared" si="288"/>
        <v>-</v>
      </c>
      <c r="W102" s="554" t="str">
        <f t="shared" si="288"/>
        <v>-</v>
      </c>
      <c r="X102" s="552" t="str">
        <f t="shared" si="263"/>
        <v>-</v>
      </c>
      <c r="Y102" s="552" t="str">
        <f t="shared" si="263"/>
        <v>-</v>
      </c>
      <c r="Z102" s="555" t="str">
        <f t="shared" si="263"/>
        <v>-</v>
      </c>
      <c r="AA102" s="552" t="str">
        <f t="shared" si="263"/>
        <v>-</v>
      </c>
      <c r="AB102" s="552" t="str">
        <f t="shared" si="263"/>
        <v>-</v>
      </c>
      <c r="AC102" s="552" t="str">
        <f t="shared" si="263"/>
        <v>-</v>
      </c>
      <c r="AD102" s="552" t="str">
        <f t="shared" si="263"/>
        <v>-</v>
      </c>
      <c r="AE102" s="552" t="str">
        <f t="shared" si="263"/>
        <v>-</v>
      </c>
      <c r="AF102" s="552" t="str">
        <f t="shared" si="263"/>
        <v>-</v>
      </c>
      <c r="AG102" s="553" t="str">
        <f t="shared" si="263"/>
        <v>-</v>
      </c>
      <c r="AH102" s="554" t="str">
        <f t="shared" si="263"/>
        <v>-</v>
      </c>
      <c r="AI102" s="551">
        <f t="shared" si="289"/>
        <v>2.4197530864197532</v>
      </c>
      <c r="AJ102" s="552">
        <f t="shared" si="289"/>
        <v>2.074074074074074</v>
      </c>
      <c r="AK102" s="552">
        <f t="shared" si="289"/>
        <v>1.728395061728395</v>
      </c>
      <c r="AL102" s="552">
        <f t="shared" si="289"/>
        <v>1.382716049382716</v>
      </c>
      <c r="AM102" s="552">
        <f t="shared" si="289"/>
        <v>1.037037037037037</v>
      </c>
      <c r="AN102" s="552">
        <f t="shared" si="289"/>
        <v>0.69135802469135799</v>
      </c>
      <c r="AO102" s="552" t="str">
        <f t="shared" si="289"/>
        <v>-</v>
      </c>
      <c r="AP102" s="553" t="str">
        <f t="shared" si="289"/>
        <v>-</v>
      </c>
      <c r="AQ102" s="553" t="str">
        <f t="shared" si="289"/>
        <v>-</v>
      </c>
      <c r="AR102" s="553" t="str">
        <f t="shared" si="289"/>
        <v>-</v>
      </c>
      <c r="AS102" s="552" t="str">
        <f t="shared" si="286"/>
        <v>-</v>
      </c>
      <c r="AT102" s="552" t="str">
        <f t="shared" si="286"/>
        <v>-</v>
      </c>
      <c r="AU102" s="552" t="str">
        <f t="shared" si="286"/>
        <v>-</v>
      </c>
      <c r="AV102" s="552" t="str">
        <f t="shared" si="286"/>
        <v>-</v>
      </c>
      <c r="AW102" s="552" t="str">
        <f t="shared" si="286"/>
        <v>-</v>
      </c>
      <c r="AX102" s="552" t="str">
        <f t="shared" si="286"/>
        <v>-</v>
      </c>
      <c r="AY102" s="553" t="str">
        <f t="shared" si="286"/>
        <v>-</v>
      </c>
      <c r="AZ102" s="553" t="str">
        <f t="shared" si="286"/>
        <v>-</v>
      </c>
      <c r="BA102" s="553" t="str">
        <f t="shared" si="286"/>
        <v>-</v>
      </c>
      <c r="BB102" s="553" t="str">
        <f t="shared" si="286"/>
        <v>-</v>
      </c>
      <c r="BC102" s="556" t="str">
        <f t="shared" si="287"/>
        <v>-</v>
      </c>
    </row>
    <row r="103" spans="1:55" x14ac:dyDescent="0.25">
      <c r="A103" s="798" t="s">
        <v>221</v>
      </c>
      <c r="B103" s="557" t="s">
        <v>9</v>
      </c>
      <c r="C103" s="558">
        <v>2</v>
      </c>
      <c r="D103" s="585">
        <f t="shared" si="290"/>
        <v>6.4285714285714288</v>
      </c>
      <c r="E103" s="559">
        <v>10</v>
      </c>
      <c r="F103" s="559">
        <v>290</v>
      </c>
      <c r="G103" s="560" t="s">
        <v>24</v>
      </c>
      <c r="H103" s="559">
        <v>150</v>
      </c>
      <c r="I103" s="561">
        <v>3</v>
      </c>
      <c r="J103" s="561">
        <v>2.9</v>
      </c>
      <c r="K103" s="562"/>
      <c r="L103" s="563" t="s">
        <v>24</v>
      </c>
      <c r="M103" s="563" t="s">
        <v>24</v>
      </c>
      <c r="N103" s="564">
        <f t="shared" si="288"/>
        <v>3.4482758620689657</v>
      </c>
      <c r="O103" s="565">
        <f t="shared" si="288"/>
        <v>2.931034482758621</v>
      </c>
      <c r="P103" s="565">
        <f t="shared" si="288"/>
        <v>2.4137931034482758</v>
      </c>
      <c r="Q103" s="565">
        <f t="shared" si="288"/>
        <v>1.896551724137931</v>
      </c>
      <c r="R103" s="565">
        <f t="shared" si="288"/>
        <v>1.3793103448275863</v>
      </c>
      <c r="S103" s="565">
        <f t="shared" si="288"/>
        <v>0.86206896551724144</v>
      </c>
      <c r="T103" s="565" t="str">
        <f t="shared" si="288"/>
        <v>-</v>
      </c>
      <c r="U103" s="566" t="str">
        <f t="shared" si="288"/>
        <v>-</v>
      </c>
      <c r="V103" s="566" t="str">
        <f t="shared" si="288"/>
        <v>-</v>
      </c>
      <c r="W103" s="567" t="str">
        <f t="shared" si="288"/>
        <v>-</v>
      </c>
      <c r="X103" s="565" t="str">
        <f t="shared" si="263"/>
        <v>-</v>
      </c>
      <c r="Y103" s="565" t="str">
        <f t="shared" si="263"/>
        <v>-</v>
      </c>
      <c r="Z103" s="568" t="str">
        <f t="shared" si="263"/>
        <v>-</v>
      </c>
      <c r="AA103" s="565" t="str">
        <f t="shared" si="263"/>
        <v>-</v>
      </c>
      <c r="AB103" s="565" t="str">
        <f t="shared" si="263"/>
        <v>-</v>
      </c>
      <c r="AC103" s="565" t="str">
        <f t="shared" si="263"/>
        <v>-</v>
      </c>
      <c r="AD103" s="565" t="str">
        <f t="shared" si="263"/>
        <v>-</v>
      </c>
      <c r="AE103" s="565" t="str">
        <f t="shared" si="263"/>
        <v>-</v>
      </c>
      <c r="AF103" s="565" t="str">
        <f t="shared" si="263"/>
        <v>-</v>
      </c>
      <c r="AG103" s="566" t="str">
        <f t="shared" si="263"/>
        <v>-</v>
      </c>
      <c r="AH103" s="567" t="str">
        <f t="shared" si="263"/>
        <v>-</v>
      </c>
      <c r="AI103" s="564">
        <f t="shared" si="289"/>
        <v>0.53639846743295017</v>
      </c>
      <c r="AJ103" s="565">
        <f t="shared" si="289"/>
        <v>0.45593869731800768</v>
      </c>
      <c r="AK103" s="565">
        <f t="shared" si="289"/>
        <v>0.37547892720306508</v>
      </c>
      <c r="AL103" s="565">
        <f t="shared" si="289"/>
        <v>0.2950191570881226</v>
      </c>
      <c r="AM103" s="565">
        <f t="shared" si="289"/>
        <v>0.21455938697318008</v>
      </c>
      <c r="AN103" s="565">
        <f t="shared" si="289"/>
        <v>0.13409961685823754</v>
      </c>
      <c r="AO103" s="565" t="str">
        <f t="shared" si="289"/>
        <v>-</v>
      </c>
      <c r="AP103" s="566" t="str">
        <f t="shared" si="289"/>
        <v>-</v>
      </c>
      <c r="AQ103" s="566" t="str">
        <f t="shared" si="289"/>
        <v>-</v>
      </c>
      <c r="AR103" s="566" t="str">
        <f t="shared" si="289"/>
        <v>-</v>
      </c>
      <c r="AS103" s="565" t="str">
        <f t="shared" si="286"/>
        <v>-</v>
      </c>
      <c r="AT103" s="565" t="str">
        <f t="shared" si="286"/>
        <v>-</v>
      </c>
      <c r="AU103" s="565" t="str">
        <f t="shared" si="286"/>
        <v>-</v>
      </c>
      <c r="AV103" s="565" t="str">
        <f t="shared" si="286"/>
        <v>-</v>
      </c>
      <c r="AW103" s="565" t="str">
        <f t="shared" si="286"/>
        <v>-</v>
      </c>
      <c r="AX103" s="565" t="str">
        <f t="shared" si="286"/>
        <v>-</v>
      </c>
      <c r="AY103" s="566" t="str">
        <f t="shared" si="286"/>
        <v>-</v>
      </c>
      <c r="AZ103" s="566" t="str">
        <f t="shared" si="286"/>
        <v>-</v>
      </c>
      <c r="BA103" s="566" t="str">
        <f t="shared" si="286"/>
        <v>-</v>
      </c>
      <c r="BB103" s="566" t="str">
        <f t="shared" si="286"/>
        <v>-</v>
      </c>
      <c r="BC103" s="569" t="str">
        <f t="shared" si="287"/>
        <v>-</v>
      </c>
    </row>
    <row r="104" spans="1:55" x14ac:dyDescent="0.25">
      <c r="A104" s="799"/>
      <c r="B104" s="570" t="s">
        <v>10</v>
      </c>
      <c r="C104" s="571">
        <v>4</v>
      </c>
      <c r="D104" s="586">
        <f t="shared" si="290"/>
        <v>6.4285714285714288</v>
      </c>
      <c r="E104" s="572">
        <v>17</v>
      </c>
      <c r="F104" s="572">
        <v>320</v>
      </c>
      <c r="G104" s="572" t="s">
        <v>24</v>
      </c>
      <c r="H104" s="572">
        <v>170</v>
      </c>
      <c r="I104" s="573">
        <v>2</v>
      </c>
      <c r="J104" s="573">
        <v>3.3</v>
      </c>
      <c r="K104" s="574"/>
      <c r="L104" s="575" t="s">
        <v>24</v>
      </c>
      <c r="M104" s="576" t="s">
        <v>24</v>
      </c>
      <c r="N104" s="577">
        <f t="shared" si="288"/>
        <v>5.1515151515151514</v>
      </c>
      <c r="O104" s="578">
        <f t="shared" si="288"/>
        <v>4.8484848484848486</v>
      </c>
      <c r="P104" s="578">
        <f t="shared" si="288"/>
        <v>4.5454545454545459</v>
      </c>
      <c r="Q104" s="578">
        <f t="shared" si="288"/>
        <v>4.2424242424242422</v>
      </c>
      <c r="R104" s="578">
        <f t="shared" si="288"/>
        <v>3.9393939393939394</v>
      </c>
      <c r="S104" s="578">
        <f t="shared" si="288"/>
        <v>3.6363636363636367</v>
      </c>
      <c r="T104" s="578">
        <f t="shared" si="288"/>
        <v>3.3333333333333335</v>
      </c>
      <c r="U104" s="579" t="str">
        <f t="shared" si="288"/>
        <v>-</v>
      </c>
      <c r="V104" s="579" t="str">
        <f t="shared" si="288"/>
        <v>-</v>
      </c>
      <c r="W104" s="580" t="str">
        <f t="shared" si="288"/>
        <v>-</v>
      </c>
      <c r="X104" s="578" t="str">
        <f t="shared" si="263"/>
        <v>-</v>
      </c>
      <c r="Y104" s="578" t="str">
        <f t="shared" si="263"/>
        <v>-</v>
      </c>
      <c r="Z104" s="581" t="str">
        <f t="shared" si="263"/>
        <v>-</v>
      </c>
      <c r="AA104" s="578" t="str">
        <f t="shared" si="263"/>
        <v>-</v>
      </c>
      <c r="AB104" s="578" t="str">
        <f t="shared" si="263"/>
        <v>-</v>
      </c>
      <c r="AC104" s="578" t="str">
        <f t="shared" si="263"/>
        <v>-</v>
      </c>
      <c r="AD104" s="578" t="str">
        <f t="shared" si="263"/>
        <v>-</v>
      </c>
      <c r="AE104" s="578" t="str">
        <f t="shared" si="263"/>
        <v>-</v>
      </c>
      <c r="AF104" s="578" t="str">
        <f t="shared" si="263"/>
        <v>-</v>
      </c>
      <c r="AG104" s="579" t="str">
        <f t="shared" si="263"/>
        <v>-</v>
      </c>
      <c r="AH104" s="580" t="str">
        <f t="shared" si="263"/>
        <v>-</v>
      </c>
      <c r="AI104" s="577">
        <f t="shared" si="289"/>
        <v>0.80134680134680125</v>
      </c>
      <c r="AJ104" s="578">
        <f t="shared" si="289"/>
        <v>0.75420875420875422</v>
      </c>
      <c r="AK104" s="578">
        <f t="shared" si="289"/>
        <v>0.70707070707070707</v>
      </c>
      <c r="AL104" s="578">
        <f t="shared" si="289"/>
        <v>0.65993265993265993</v>
      </c>
      <c r="AM104" s="578">
        <f t="shared" si="289"/>
        <v>0.61279461279461278</v>
      </c>
      <c r="AN104" s="578">
        <f t="shared" si="289"/>
        <v>0.56565656565656564</v>
      </c>
      <c r="AO104" s="578">
        <f t="shared" si="289"/>
        <v>0.51851851851851849</v>
      </c>
      <c r="AP104" s="579" t="str">
        <f t="shared" si="289"/>
        <v>-</v>
      </c>
      <c r="AQ104" s="579" t="str">
        <f t="shared" si="289"/>
        <v>-</v>
      </c>
      <c r="AR104" s="579" t="str">
        <f t="shared" si="289"/>
        <v>-</v>
      </c>
      <c r="AS104" s="578" t="str">
        <f t="shared" si="286"/>
        <v>-</v>
      </c>
      <c r="AT104" s="578" t="str">
        <f t="shared" si="286"/>
        <v>-</v>
      </c>
      <c r="AU104" s="578" t="str">
        <f t="shared" si="286"/>
        <v>-</v>
      </c>
      <c r="AV104" s="578" t="str">
        <f t="shared" si="286"/>
        <v>-</v>
      </c>
      <c r="AW104" s="578" t="str">
        <f t="shared" si="286"/>
        <v>-</v>
      </c>
      <c r="AX104" s="578" t="str">
        <f t="shared" si="286"/>
        <v>-</v>
      </c>
      <c r="AY104" s="579" t="str">
        <f t="shared" si="286"/>
        <v>-</v>
      </c>
      <c r="AZ104" s="579" t="str">
        <f t="shared" si="286"/>
        <v>-</v>
      </c>
      <c r="BA104" s="579" t="str">
        <f t="shared" si="286"/>
        <v>-</v>
      </c>
      <c r="BB104" s="579" t="str">
        <f t="shared" si="286"/>
        <v>-</v>
      </c>
      <c r="BC104" s="582" t="str">
        <f t="shared" si="287"/>
        <v>-</v>
      </c>
    </row>
    <row r="105" spans="1:55" ht="15.75" thickBot="1" x14ac:dyDescent="0.3">
      <c r="A105" s="800"/>
      <c r="B105" s="570" t="s">
        <v>11</v>
      </c>
      <c r="C105" s="571">
        <v>6</v>
      </c>
      <c r="D105" s="586">
        <f t="shared" si="290"/>
        <v>6.4285714285714288</v>
      </c>
      <c r="E105" s="572">
        <v>23</v>
      </c>
      <c r="F105" s="572">
        <v>350</v>
      </c>
      <c r="G105" s="572" t="s">
        <v>24</v>
      </c>
      <c r="H105" s="572">
        <v>190</v>
      </c>
      <c r="I105" s="573">
        <v>2</v>
      </c>
      <c r="J105" s="573">
        <v>3.1</v>
      </c>
      <c r="K105" s="574"/>
      <c r="L105" s="575" t="s">
        <v>24</v>
      </c>
      <c r="M105" s="576" t="s">
        <v>24</v>
      </c>
      <c r="N105" s="577">
        <f t="shared" si="288"/>
        <v>7.419354838709677</v>
      </c>
      <c r="O105" s="578">
        <f t="shared" si="288"/>
        <v>7.096774193548387</v>
      </c>
      <c r="P105" s="578">
        <f t="shared" si="288"/>
        <v>6.774193548387097</v>
      </c>
      <c r="Q105" s="578">
        <f t="shared" si="288"/>
        <v>6.4516129032258061</v>
      </c>
      <c r="R105" s="578">
        <f t="shared" si="288"/>
        <v>6.129032258064516</v>
      </c>
      <c r="S105" s="578">
        <f t="shared" si="288"/>
        <v>5.806451612903226</v>
      </c>
      <c r="T105" s="578">
        <f t="shared" si="288"/>
        <v>5.4838709677419351</v>
      </c>
      <c r="U105" s="579">
        <f t="shared" si="288"/>
        <v>5.161290322580645</v>
      </c>
      <c r="V105" s="579" t="str">
        <f t="shared" si="288"/>
        <v>-</v>
      </c>
      <c r="W105" s="580" t="str">
        <f t="shared" si="288"/>
        <v>-</v>
      </c>
      <c r="X105" s="578" t="str">
        <f t="shared" si="263"/>
        <v>-</v>
      </c>
      <c r="Y105" s="578" t="str">
        <f t="shared" si="263"/>
        <v>-</v>
      </c>
      <c r="Z105" s="581" t="str">
        <f t="shared" si="263"/>
        <v>-</v>
      </c>
      <c r="AA105" s="578" t="str">
        <f t="shared" si="263"/>
        <v>-</v>
      </c>
      <c r="AB105" s="578" t="str">
        <f t="shared" si="263"/>
        <v>-</v>
      </c>
      <c r="AC105" s="578" t="str">
        <f t="shared" si="263"/>
        <v>-</v>
      </c>
      <c r="AD105" s="578" t="str">
        <f t="shared" si="263"/>
        <v>-</v>
      </c>
      <c r="AE105" s="578" t="str">
        <f t="shared" si="263"/>
        <v>-</v>
      </c>
      <c r="AF105" s="578" t="str">
        <f t="shared" si="263"/>
        <v>-</v>
      </c>
      <c r="AG105" s="579" t="str">
        <f t="shared" si="263"/>
        <v>-</v>
      </c>
      <c r="AH105" s="580" t="str">
        <f t="shared" si="263"/>
        <v>-</v>
      </c>
      <c r="AI105" s="577">
        <f t="shared" si="289"/>
        <v>1.1541218637992829</v>
      </c>
      <c r="AJ105" s="578">
        <f t="shared" si="289"/>
        <v>1.1039426523297491</v>
      </c>
      <c r="AK105" s="578">
        <f t="shared" si="289"/>
        <v>1.053763440860215</v>
      </c>
      <c r="AL105" s="578">
        <f t="shared" si="289"/>
        <v>1.0035842293906809</v>
      </c>
      <c r="AM105" s="578">
        <f t="shared" si="289"/>
        <v>0.95340501792114685</v>
      </c>
      <c r="AN105" s="578">
        <f t="shared" si="289"/>
        <v>0.90322580645161288</v>
      </c>
      <c r="AO105" s="578">
        <f t="shared" si="289"/>
        <v>0.8530465949820788</v>
      </c>
      <c r="AP105" s="579">
        <f t="shared" si="289"/>
        <v>0.80286738351254472</v>
      </c>
      <c r="AQ105" s="579" t="str">
        <f t="shared" si="289"/>
        <v>-</v>
      </c>
      <c r="AR105" s="579" t="str">
        <f t="shared" si="289"/>
        <v>-</v>
      </c>
      <c r="AS105" s="578" t="str">
        <f t="shared" si="286"/>
        <v>-</v>
      </c>
      <c r="AT105" s="578" t="str">
        <f t="shared" si="286"/>
        <v>-</v>
      </c>
      <c r="AU105" s="578" t="str">
        <f t="shared" si="286"/>
        <v>-</v>
      </c>
      <c r="AV105" s="578" t="str">
        <f t="shared" si="286"/>
        <v>-</v>
      </c>
      <c r="AW105" s="578" t="str">
        <f t="shared" si="286"/>
        <v>-</v>
      </c>
      <c r="AX105" s="578" t="str">
        <f t="shared" si="286"/>
        <v>-</v>
      </c>
      <c r="AY105" s="579" t="str">
        <f t="shared" si="286"/>
        <v>-</v>
      </c>
      <c r="AZ105" s="579" t="str">
        <f t="shared" si="286"/>
        <v>-</v>
      </c>
      <c r="BA105" s="579" t="str">
        <f t="shared" si="286"/>
        <v>-</v>
      </c>
      <c r="BB105" s="579" t="str">
        <f t="shared" si="286"/>
        <v>-</v>
      </c>
      <c r="BC105" s="582" t="str">
        <f t="shared" si="287"/>
        <v>-</v>
      </c>
    </row>
    <row r="106" spans="1:55" x14ac:dyDescent="0.25">
      <c r="A106" s="789" t="s">
        <v>215</v>
      </c>
      <c r="B106" s="363" t="s">
        <v>9</v>
      </c>
      <c r="C106" s="364">
        <v>2</v>
      </c>
      <c r="D106" s="365">
        <f>45/6</f>
        <v>7.5</v>
      </c>
      <c r="E106" s="366">
        <v>8</v>
      </c>
      <c r="F106" s="366">
        <v>160</v>
      </c>
      <c r="G106" s="389" t="s">
        <v>24</v>
      </c>
      <c r="H106" s="366">
        <v>1200</v>
      </c>
      <c r="I106" s="367">
        <v>2</v>
      </c>
      <c r="J106" s="367">
        <v>1.1000000000000001</v>
      </c>
      <c r="K106" s="368"/>
      <c r="L106" s="418" t="s">
        <v>24</v>
      </c>
      <c r="M106" s="418" t="s">
        <v>24</v>
      </c>
      <c r="N106" s="369">
        <f t="shared" si="262"/>
        <v>7.2727272727272725</v>
      </c>
      <c r="O106" s="370">
        <f t="shared" si="262"/>
        <v>6.3636363636363633</v>
      </c>
      <c r="P106" s="370">
        <f t="shared" si="262"/>
        <v>5.4545454545454541</v>
      </c>
      <c r="Q106" s="370">
        <f t="shared" si="262"/>
        <v>4.545454545454545</v>
      </c>
      <c r="R106" s="370" t="str">
        <f t="shared" si="262"/>
        <v>-</v>
      </c>
      <c r="S106" s="370" t="str">
        <f t="shared" si="262"/>
        <v>-</v>
      </c>
      <c r="T106" s="370" t="str">
        <f t="shared" si="262"/>
        <v>-</v>
      </c>
      <c r="U106" s="371" t="str">
        <f t="shared" si="262"/>
        <v>-</v>
      </c>
      <c r="V106" s="371" t="str">
        <f t="shared" si="262"/>
        <v>-</v>
      </c>
      <c r="W106" s="372" t="str">
        <f t="shared" si="262"/>
        <v>-</v>
      </c>
      <c r="X106" s="370" t="str">
        <f t="shared" si="263"/>
        <v>-</v>
      </c>
      <c r="Y106" s="370" t="str">
        <f t="shared" si="263"/>
        <v>-</v>
      </c>
      <c r="Z106" s="373" t="str">
        <f t="shared" si="263"/>
        <v>-</v>
      </c>
      <c r="AA106" s="370" t="str">
        <f t="shared" si="263"/>
        <v>-</v>
      </c>
      <c r="AB106" s="370" t="str">
        <f t="shared" si="263"/>
        <v>-</v>
      </c>
      <c r="AC106" s="370" t="str">
        <f t="shared" si="263"/>
        <v>-</v>
      </c>
      <c r="AD106" s="370" t="str">
        <f t="shared" si="263"/>
        <v>-</v>
      </c>
      <c r="AE106" s="370" t="str">
        <f t="shared" si="263"/>
        <v>-</v>
      </c>
      <c r="AF106" s="370" t="str">
        <f t="shared" si="263"/>
        <v>-</v>
      </c>
      <c r="AG106" s="371" t="str">
        <f t="shared" si="263"/>
        <v>-</v>
      </c>
      <c r="AH106" s="372" t="str">
        <f t="shared" si="263"/>
        <v>-</v>
      </c>
      <c r="AI106" s="369">
        <f t="shared" si="285"/>
        <v>0.96969696969696961</v>
      </c>
      <c r="AJ106" s="370">
        <f t="shared" si="285"/>
        <v>0.8484848484848484</v>
      </c>
      <c r="AK106" s="370">
        <f t="shared" si="285"/>
        <v>0.72727272727272718</v>
      </c>
      <c r="AL106" s="370">
        <f t="shared" si="285"/>
        <v>0.60606060606060597</v>
      </c>
      <c r="AM106" s="370" t="str">
        <f t="shared" si="285"/>
        <v>-</v>
      </c>
      <c r="AN106" s="370" t="str">
        <f t="shared" si="285"/>
        <v>-</v>
      </c>
      <c r="AO106" s="370" t="str">
        <f t="shared" si="285"/>
        <v>-</v>
      </c>
      <c r="AP106" s="371" t="str">
        <f t="shared" si="285"/>
        <v>-</v>
      </c>
      <c r="AQ106" s="371" t="str">
        <f t="shared" si="285"/>
        <v>-</v>
      </c>
      <c r="AR106" s="371" t="str">
        <f t="shared" si="285"/>
        <v>-</v>
      </c>
      <c r="AS106" s="370" t="str">
        <f t="shared" si="286"/>
        <v>-</v>
      </c>
      <c r="AT106" s="370" t="str">
        <f t="shared" si="286"/>
        <v>-</v>
      </c>
      <c r="AU106" s="370" t="str">
        <f t="shared" si="286"/>
        <v>-</v>
      </c>
      <c r="AV106" s="370" t="str">
        <f t="shared" si="286"/>
        <v>-</v>
      </c>
      <c r="AW106" s="370" t="str">
        <f t="shared" si="286"/>
        <v>-</v>
      </c>
      <c r="AX106" s="370" t="str">
        <f t="shared" si="286"/>
        <v>-</v>
      </c>
      <c r="AY106" s="371" t="str">
        <f t="shared" si="286"/>
        <v>-</v>
      </c>
      <c r="AZ106" s="371" t="str">
        <f t="shared" si="286"/>
        <v>-</v>
      </c>
      <c r="BA106" s="371" t="str">
        <f t="shared" si="286"/>
        <v>-</v>
      </c>
      <c r="BB106" s="371" t="str">
        <f t="shared" si="286"/>
        <v>-</v>
      </c>
      <c r="BC106" s="374" t="str">
        <f t="shared" si="287"/>
        <v>-</v>
      </c>
    </row>
    <row r="107" spans="1:55" x14ac:dyDescent="0.25">
      <c r="A107" s="790"/>
      <c r="B107" s="390" t="s">
        <v>10</v>
      </c>
      <c r="C107" s="391">
        <v>3</v>
      </c>
      <c r="D107" s="392">
        <f t="shared" ref="D107:D111" si="291">45/6</f>
        <v>7.5</v>
      </c>
      <c r="E107" s="393">
        <v>9</v>
      </c>
      <c r="F107" s="393">
        <v>180</v>
      </c>
      <c r="G107" s="393" t="s">
        <v>24</v>
      </c>
      <c r="H107" s="393">
        <v>1200</v>
      </c>
      <c r="I107" s="394">
        <v>2</v>
      </c>
      <c r="J107" s="394">
        <v>1.05</v>
      </c>
      <c r="K107" s="395"/>
      <c r="L107" s="396" t="s">
        <v>24</v>
      </c>
      <c r="M107" s="397" t="s">
        <v>24</v>
      </c>
      <c r="N107" s="398">
        <f t="shared" si="262"/>
        <v>8.5714285714285712</v>
      </c>
      <c r="O107" s="399">
        <f t="shared" si="262"/>
        <v>7.6190476190476186</v>
      </c>
      <c r="P107" s="399">
        <f t="shared" si="262"/>
        <v>6.6666666666666661</v>
      </c>
      <c r="Q107" s="399">
        <f t="shared" si="262"/>
        <v>5.7142857142857144</v>
      </c>
      <c r="R107" s="399" t="str">
        <f t="shared" si="262"/>
        <v>-</v>
      </c>
      <c r="S107" s="399" t="str">
        <f t="shared" si="262"/>
        <v>-</v>
      </c>
      <c r="T107" s="399" t="str">
        <f t="shared" si="262"/>
        <v>-</v>
      </c>
      <c r="U107" s="400" t="str">
        <f t="shared" si="262"/>
        <v>-</v>
      </c>
      <c r="V107" s="400" t="str">
        <f t="shared" si="262"/>
        <v>-</v>
      </c>
      <c r="W107" s="401" t="str">
        <f t="shared" si="262"/>
        <v>-</v>
      </c>
      <c r="X107" s="399" t="str">
        <f t="shared" si="263"/>
        <v>-</v>
      </c>
      <c r="Y107" s="399" t="str">
        <f t="shared" si="263"/>
        <v>-</v>
      </c>
      <c r="Z107" s="402" t="str">
        <f t="shared" si="263"/>
        <v>-</v>
      </c>
      <c r="AA107" s="399" t="str">
        <f t="shared" si="263"/>
        <v>-</v>
      </c>
      <c r="AB107" s="399" t="str">
        <f t="shared" si="263"/>
        <v>-</v>
      </c>
      <c r="AC107" s="399" t="str">
        <f t="shared" si="263"/>
        <v>-</v>
      </c>
      <c r="AD107" s="399" t="str">
        <f t="shared" si="263"/>
        <v>-</v>
      </c>
      <c r="AE107" s="399" t="str">
        <f t="shared" si="263"/>
        <v>-</v>
      </c>
      <c r="AF107" s="399" t="str">
        <f t="shared" si="263"/>
        <v>-</v>
      </c>
      <c r="AG107" s="400" t="str">
        <f t="shared" si="263"/>
        <v>-</v>
      </c>
      <c r="AH107" s="401" t="str">
        <f t="shared" si="263"/>
        <v>-</v>
      </c>
      <c r="AI107" s="398">
        <f t="shared" ref="AI107:AI112" si="292">IF(N$2&lt;=$F107,N107/$D107,"-")</f>
        <v>1.1428571428571428</v>
      </c>
      <c r="AJ107" s="399">
        <f t="shared" ref="AJ107:AJ112" si="293">IF(O$2&lt;=$F107,O107/$D107,"-")</f>
        <v>1.0158730158730158</v>
      </c>
      <c r="AK107" s="399">
        <f t="shared" ref="AK107:AK112" si="294">IF(P$2&lt;=$F107,P107/$D107,"-")</f>
        <v>0.88888888888888884</v>
      </c>
      <c r="AL107" s="399">
        <f t="shared" ref="AL107:AL112" si="295">IF(Q$2&lt;=$F107,Q107/$D107,"-")</f>
        <v>0.76190476190476197</v>
      </c>
      <c r="AM107" s="399" t="str">
        <f t="shared" ref="AM107:AM112" si="296">IF(R$2&lt;=$F107,R107/$D107,"-")</f>
        <v>-</v>
      </c>
      <c r="AN107" s="399" t="str">
        <f t="shared" ref="AN107:AN112" si="297">IF(S$2&lt;=$F107,S107/$D107,"-")</f>
        <v>-</v>
      </c>
      <c r="AO107" s="399" t="str">
        <f t="shared" ref="AO107:AO112" si="298">IF(T$2&lt;=$F107,T107/$D107,"-")</f>
        <v>-</v>
      </c>
      <c r="AP107" s="400" t="str">
        <f t="shared" ref="AP107:AP112" si="299">IF(U$2&lt;=$F107,U107/$D107,"-")</f>
        <v>-</v>
      </c>
      <c r="AQ107" s="400" t="str">
        <f t="shared" ref="AQ107:AQ112" si="300">IF(V$2&lt;=$F107,V107/$D107,"-")</f>
        <v>-</v>
      </c>
      <c r="AR107" s="400" t="str">
        <f t="shared" ref="AR107:AR112" si="301">IF(W$2&lt;=$F107,W107/$D107,"-")</f>
        <v>-</v>
      </c>
      <c r="AS107" s="399" t="str">
        <f t="shared" ref="AS107:AS112" si="302">IF(X$2&lt;=$F107,X107/$D107,"-")</f>
        <v>-</v>
      </c>
      <c r="AT107" s="399" t="str">
        <f t="shared" ref="AT107:AT112" si="303">IF(Y$2&lt;=$F107,Y107/$D107,"-")</f>
        <v>-</v>
      </c>
      <c r="AU107" s="399" t="str">
        <f t="shared" ref="AU107:AU112" si="304">IF(Z$2&lt;=$F107,Z107/$D107,"-")</f>
        <v>-</v>
      </c>
      <c r="AV107" s="399" t="str">
        <f t="shared" ref="AV107:AV112" si="305">IF(AA$2&lt;=$F107,AA107/$D107,"-")</f>
        <v>-</v>
      </c>
      <c r="AW107" s="399" t="str">
        <f t="shared" ref="AW107:AW112" si="306">IF(AB$2&lt;=$F107,AB107/$D107,"-")</f>
        <v>-</v>
      </c>
      <c r="AX107" s="399" t="str">
        <f t="shared" ref="AX107:AX112" si="307">IF(AC$2&lt;=$F107,AC107/$D107,"-")</f>
        <v>-</v>
      </c>
      <c r="AY107" s="400" t="str">
        <f t="shared" ref="AY107:AY112" si="308">IF(AD$2&lt;=$F107,AD107/$D107,"-")</f>
        <v>-</v>
      </c>
      <c r="AZ107" s="400" t="str">
        <f t="shared" ref="AZ107:AZ112" si="309">IF(AE$2&lt;=$F107,AE107/$D107,"-")</f>
        <v>-</v>
      </c>
      <c r="BA107" s="400" t="str">
        <f t="shared" ref="BA107:BA112" si="310">IF(AF$2&lt;=$F107,AF107/$D107,"-")</f>
        <v>-</v>
      </c>
      <c r="BB107" s="400" t="str">
        <f t="shared" ref="BB107:BB112" si="311">IF(AG$2&lt;=$F107,AG107/$D107,"-")</f>
        <v>-</v>
      </c>
      <c r="BC107" s="403" t="str">
        <f t="shared" ref="BC107:BC112" si="312">IF(AH$2&lt;=$F107,AH107/$D107,"-")</f>
        <v>-</v>
      </c>
    </row>
    <row r="108" spans="1:55" x14ac:dyDescent="0.25">
      <c r="A108" s="790"/>
      <c r="B108" s="390" t="s">
        <v>11</v>
      </c>
      <c r="C108" s="391">
        <v>4</v>
      </c>
      <c r="D108" s="392">
        <f t="shared" si="291"/>
        <v>7.5</v>
      </c>
      <c r="E108" s="393">
        <v>10</v>
      </c>
      <c r="F108" s="393">
        <v>200</v>
      </c>
      <c r="G108" s="393" t="s">
        <v>24</v>
      </c>
      <c r="H108" s="393">
        <v>1200</v>
      </c>
      <c r="I108" s="394">
        <v>2</v>
      </c>
      <c r="J108" s="394">
        <v>1</v>
      </c>
      <c r="K108" s="395"/>
      <c r="L108" s="396" t="s">
        <v>24</v>
      </c>
      <c r="M108" s="397" t="s">
        <v>24</v>
      </c>
      <c r="N108" s="398">
        <f t="shared" si="262"/>
        <v>10</v>
      </c>
      <c r="O108" s="399">
        <f t="shared" si="262"/>
        <v>9</v>
      </c>
      <c r="P108" s="399">
        <f t="shared" si="262"/>
        <v>8</v>
      </c>
      <c r="Q108" s="399">
        <f t="shared" si="262"/>
        <v>7</v>
      </c>
      <c r="R108" s="399">
        <f t="shared" si="262"/>
        <v>6</v>
      </c>
      <c r="S108" s="399" t="str">
        <f t="shared" si="262"/>
        <v>-</v>
      </c>
      <c r="T108" s="399" t="str">
        <f t="shared" si="262"/>
        <v>-</v>
      </c>
      <c r="U108" s="400" t="str">
        <f t="shared" si="262"/>
        <v>-</v>
      </c>
      <c r="V108" s="400" t="str">
        <f t="shared" si="262"/>
        <v>-</v>
      </c>
      <c r="W108" s="401" t="str">
        <f t="shared" si="262"/>
        <v>-</v>
      </c>
      <c r="X108" s="399" t="str">
        <f t="shared" si="263"/>
        <v>-</v>
      </c>
      <c r="Y108" s="399" t="str">
        <f t="shared" si="263"/>
        <v>-</v>
      </c>
      <c r="Z108" s="402" t="str">
        <f t="shared" si="263"/>
        <v>-</v>
      </c>
      <c r="AA108" s="399" t="str">
        <f t="shared" si="263"/>
        <v>-</v>
      </c>
      <c r="AB108" s="399" t="str">
        <f t="shared" si="263"/>
        <v>-</v>
      </c>
      <c r="AC108" s="399" t="str">
        <f t="shared" si="263"/>
        <v>-</v>
      </c>
      <c r="AD108" s="399" t="str">
        <f t="shared" si="263"/>
        <v>-</v>
      </c>
      <c r="AE108" s="399" t="str">
        <f t="shared" si="263"/>
        <v>-</v>
      </c>
      <c r="AF108" s="399" t="str">
        <f t="shared" si="263"/>
        <v>-</v>
      </c>
      <c r="AG108" s="400" t="str">
        <f t="shared" si="263"/>
        <v>-</v>
      </c>
      <c r="AH108" s="401" t="str">
        <f t="shared" si="263"/>
        <v>-</v>
      </c>
      <c r="AI108" s="398">
        <f t="shared" si="292"/>
        <v>1.3333333333333333</v>
      </c>
      <c r="AJ108" s="399">
        <f t="shared" si="293"/>
        <v>1.2</v>
      </c>
      <c r="AK108" s="399">
        <f t="shared" si="294"/>
        <v>1.0666666666666667</v>
      </c>
      <c r="AL108" s="399">
        <f t="shared" si="295"/>
        <v>0.93333333333333335</v>
      </c>
      <c r="AM108" s="399">
        <f t="shared" si="296"/>
        <v>0.8</v>
      </c>
      <c r="AN108" s="399" t="str">
        <f t="shared" si="297"/>
        <v>-</v>
      </c>
      <c r="AO108" s="399" t="str">
        <f t="shared" si="298"/>
        <v>-</v>
      </c>
      <c r="AP108" s="400" t="str">
        <f t="shared" si="299"/>
        <v>-</v>
      </c>
      <c r="AQ108" s="400" t="str">
        <f t="shared" si="300"/>
        <v>-</v>
      </c>
      <c r="AR108" s="400" t="str">
        <f t="shared" si="301"/>
        <v>-</v>
      </c>
      <c r="AS108" s="399" t="str">
        <f t="shared" si="302"/>
        <v>-</v>
      </c>
      <c r="AT108" s="399" t="str">
        <f t="shared" si="303"/>
        <v>-</v>
      </c>
      <c r="AU108" s="399" t="str">
        <f t="shared" si="304"/>
        <v>-</v>
      </c>
      <c r="AV108" s="399" t="str">
        <f t="shared" si="305"/>
        <v>-</v>
      </c>
      <c r="AW108" s="399" t="str">
        <f t="shared" si="306"/>
        <v>-</v>
      </c>
      <c r="AX108" s="399" t="str">
        <f t="shared" si="307"/>
        <v>-</v>
      </c>
      <c r="AY108" s="400" t="str">
        <f t="shared" si="308"/>
        <v>-</v>
      </c>
      <c r="AZ108" s="400" t="str">
        <f t="shared" si="309"/>
        <v>-</v>
      </c>
      <c r="BA108" s="400" t="str">
        <f t="shared" si="310"/>
        <v>-</v>
      </c>
      <c r="BB108" s="400" t="str">
        <f t="shared" si="311"/>
        <v>-</v>
      </c>
      <c r="BC108" s="403" t="str">
        <f t="shared" si="312"/>
        <v>-</v>
      </c>
    </row>
    <row r="109" spans="1:55" x14ac:dyDescent="0.25">
      <c r="A109" s="790"/>
      <c r="B109" s="390" t="s">
        <v>23</v>
      </c>
      <c r="C109" s="391">
        <v>5</v>
      </c>
      <c r="D109" s="392">
        <f t="shared" si="291"/>
        <v>7.5</v>
      </c>
      <c r="E109" s="393">
        <v>9</v>
      </c>
      <c r="F109" s="393">
        <v>220</v>
      </c>
      <c r="G109" s="393" t="s">
        <v>24</v>
      </c>
      <c r="H109" s="393">
        <v>1200</v>
      </c>
      <c r="I109" s="394">
        <v>2</v>
      </c>
      <c r="J109" s="394">
        <v>0.8</v>
      </c>
      <c r="K109" s="395"/>
      <c r="L109" s="396" t="s">
        <v>24</v>
      </c>
      <c r="M109" s="397" t="s">
        <v>24</v>
      </c>
      <c r="N109" s="398">
        <f t="shared" si="262"/>
        <v>11.25</v>
      </c>
      <c r="O109" s="399">
        <f t="shared" si="262"/>
        <v>10</v>
      </c>
      <c r="P109" s="399">
        <f t="shared" si="262"/>
        <v>8.75</v>
      </c>
      <c r="Q109" s="399">
        <f t="shared" si="262"/>
        <v>7.5</v>
      </c>
      <c r="R109" s="399">
        <f t="shared" si="262"/>
        <v>6.25</v>
      </c>
      <c r="S109" s="399" t="str">
        <f t="shared" si="262"/>
        <v>-</v>
      </c>
      <c r="T109" s="399" t="str">
        <f t="shared" si="262"/>
        <v>-</v>
      </c>
      <c r="U109" s="400" t="str">
        <f t="shared" si="262"/>
        <v>-</v>
      </c>
      <c r="V109" s="400" t="str">
        <f t="shared" si="262"/>
        <v>-</v>
      </c>
      <c r="W109" s="401" t="str">
        <f t="shared" si="262"/>
        <v>-</v>
      </c>
      <c r="X109" s="399" t="str">
        <f t="shared" si="263"/>
        <v>-</v>
      </c>
      <c r="Y109" s="399" t="str">
        <f t="shared" si="263"/>
        <v>-</v>
      </c>
      <c r="Z109" s="402" t="str">
        <f t="shared" si="263"/>
        <v>-</v>
      </c>
      <c r="AA109" s="399" t="str">
        <f t="shared" si="263"/>
        <v>-</v>
      </c>
      <c r="AB109" s="399" t="str">
        <f t="shared" si="263"/>
        <v>-</v>
      </c>
      <c r="AC109" s="399" t="str">
        <f t="shared" si="263"/>
        <v>-</v>
      </c>
      <c r="AD109" s="399" t="str">
        <f t="shared" si="263"/>
        <v>-</v>
      </c>
      <c r="AE109" s="399" t="str">
        <f t="shared" si="263"/>
        <v>-</v>
      </c>
      <c r="AF109" s="399" t="str">
        <f t="shared" si="263"/>
        <v>-</v>
      </c>
      <c r="AG109" s="400" t="str">
        <f t="shared" si="263"/>
        <v>-</v>
      </c>
      <c r="AH109" s="401" t="str">
        <f t="shared" si="263"/>
        <v>-</v>
      </c>
      <c r="AI109" s="398">
        <f t="shared" si="292"/>
        <v>1.5</v>
      </c>
      <c r="AJ109" s="399">
        <f t="shared" si="293"/>
        <v>1.3333333333333333</v>
      </c>
      <c r="AK109" s="399">
        <f t="shared" si="294"/>
        <v>1.1666666666666667</v>
      </c>
      <c r="AL109" s="399">
        <f t="shared" si="295"/>
        <v>1</v>
      </c>
      <c r="AM109" s="399">
        <f t="shared" si="296"/>
        <v>0.83333333333333337</v>
      </c>
      <c r="AN109" s="399" t="str">
        <f t="shared" si="297"/>
        <v>-</v>
      </c>
      <c r="AO109" s="399" t="str">
        <f t="shared" si="298"/>
        <v>-</v>
      </c>
      <c r="AP109" s="400" t="str">
        <f t="shared" si="299"/>
        <v>-</v>
      </c>
      <c r="AQ109" s="400" t="str">
        <f t="shared" si="300"/>
        <v>-</v>
      </c>
      <c r="AR109" s="400" t="str">
        <f t="shared" si="301"/>
        <v>-</v>
      </c>
      <c r="AS109" s="399" t="str">
        <f t="shared" si="302"/>
        <v>-</v>
      </c>
      <c r="AT109" s="399" t="str">
        <f t="shared" si="303"/>
        <v>-</v>
      </c>
      <c r="AU109" s="399" t="str">
        <f t="shared" si="304"/>
        <v>-</v>
      </c>
      <c r="AV109" s="399" t="str">
        <f t="shared" si="305"/>
        <v>-</v>
      </c>
      <c r="AW109" s="399" t="str">
        <f t="shared" si="306"/>
        <v>-</v>
      </c>
      <c r="AX109" s="399" t="str">
        <f t="shared" si="307"/>
        <v>-</v>
      </c>
      <c r="AY109" s="400" t="str">
        <f t="shared" si="308"/>
        <v>-</v>
      </c>
      <c r="AZ109" s="400" t="str">
        <f t="shared" si="309"/>
        <v>-</v>
      </c>
      <c r="BA109" s="400" t="str">
        <f t="shared" si="310"/>
        <v>-</v>
      </c>
      <c r="BB109" s="400" t="str">
        <f t="shared" si="311"/>
        <v>-</v>
      </c>
      <c r="BC109" s="403" t="str">
        <f t="shared" si="312"/>
        <v>-</v>
      </c>
    </row>
    <row r="110" spans="1:55" ht="15.75" thickBot="1" x14ac:dyDescent="0.3">
      <c r="A110" s="790"/>
      <c r="B110" s="404" t="s">
        <v>212</v>
      </c>
      <c r="C110" s="405">
        <v>6</v>
      </c>
      <c r="D110" s="406">
        <f t="shared" si="291"/>
        <v>7.5</v>
      </c>
      <c r="E110" s="407">
        <v>8</v>
      </c>
      <c r="F110" s="407">
        <v>240</v>
      </c>
      <c r="G110" s="407" t="s">
        <v>24</v>
      </c>
      <c r="H110" s="407">
        <v>1200</v>
      </c>
      <c r="I110" s="408">
        <v>2</v>
      </c>
      <c r="J110" s="408">
        <v>0.5</v>
      </c>
      <c r="K110" s="409"/>
      <c r="L110" s="410" t="s">
        <v>24</v>
      </c>
      <c r="M110" s="411" t="s">
        <v>24</v>
      </c>
      <c r="N110" s="412">
        <f t="shared" si="262"/>
        <v>16</v>
      </c>
      <c r="O110" s="413">
        <f t="shared" si="262"/>
        <v>14</v>
      </c>
      <c r="P110" s="413">
        <f t="shared" si="262"/>
        <v>12</v>
      </c>
      <c r="Q110" s="413">
        <f t="shared" si="262"/>
        <v>10</v>
      </c>
      <c r="R110" s="413">
        <f t="shared" si="262"/>
        <v>8</v>
      </c>
      <c r="S110" s="413" t="str">
        <f t="shared" si="262"/>
        <v>-</v>
      </c>
      <c r="T110" s="413" t="str">
        <f t="shared" si="262"/>
        <v>-</v>
      </c>
      <c r="U110" s="414" t="str">
        <f t="shared" si="262"/>
        <v>-</v>
      </c>
      <c r="V110" s="414" t="str">
        <f t="shared" si="262"/>
        <v>-</v>
      </c>
      <c r="W110" s="415" t="str">
        <f t="shared" si="262"/>
        <v>-</v>
      </c>
      <c r="X110" s="413" t="str">
        <f t="shared" si="263"/>
        <v>-</v>
      </c>
      <c r="Y110" s="413" t="str">
        <f t="shared" si="263"/>
        <v>-</v>
      </c>
      <c r="Z110" s="416" t="str">
        <f t="shared" si="263"/>
        <v>-</v>
      </c>
      <c r="AA110" s="413" t="str">
        <f t="shared" si="263"/>
        <v>-</v>
      </c>
      <c r="AB110" s="413" t="str">
        <f t="shared" si="263"/>
        <v>-</v>
      </c>
      <c r="AC110" s="413" t="str">
        <f t="shared" si="263"/>
        <v>-</v>
      </c>
      <c r="AD110" s="413" t="str">
        <f t="shared" si="263"/>
        <v>-</v>
      </c>
      <c r="AE110" s="413" t="str">
        <f t="shared" si="263"/>
        <v>-</v>
      </c>
      <c r="AF110" s="413" t="str">
        <f t="shared" si="263"/>
        <v>-</v>
      </c>
      <c r="AG110" s="414" t="str">
        <f t="shared" si="263"/>
        <v>-</v>
      </c>
      <c r="AH110" s="415" t="str">
        <f t="shared" si="263"/>
        <v>-</v>
      </c>
      <c r="AI110" s="412">
        <f t="shared" si="292"/>
        <v>2.1333333333333333</v>
      </c>
      <c r="AJ110" s="413">
        <f t="shared" si="293"/>
        <v>1.8666666666666667</v>
      </c>
      <c r="AK110" s="413">
        <f t="shared" si="294"/>
        <v>1.6</v>
      </c>
      <c r="AL110" s="413">
        <f t="shared" si="295"/>
        <v>1.3333333333333333</v>
      </c>
      <c r="AM110" s="413">
        <f t="shared" si="296"/>
        <v>1.0666666666666667</v>
      </c>
      <c r="AN110" s="413" t="str">
        <f t="shared" si="297"/>
        <v>-</v>
      </c>
      <c r="AO110" s="413" t="str">
        <f t="shared" si="298"/>
        <v>-</v>
      </c>
      <c r="AP110" s="414" t="str">
        <f t="shared" si="299"/>
        <v>-</v>
      </c>
      <c r="AQ110" s="414" t="str">
        <f t="shared" si="300"/>
        <v>-</v>
      </c>
      <c r="AR110" s="414" t="str">
        <f t="shared" si="301"/>
        <v>-</v>
      </c>
      <c r="AS110" s="413" t="str">
        <f t="shared" si="302"/>
        <v>-</v>
      </c>
      <c r="AT110" s="413" t="str">
        <f t="shared" si="303"/>
        <v>-</v>
      </c>
      <c r="AU110" s="413" t="str">
        <f t="shared" si="304"/>
        <v>-</v>
      </c>
      <c r="AV110" s="413" t="str">
        <f t="shared" si="305"/>
        <v>-</v>
      </c>
      <c r="AW110" s="413" t="str">
        <f t="shared" si="306"/>
        <v>-</v>
      </c>
      <c r="AX110" s="413" t="str">
        <f t="shared" si="307"/>
        <v>-</v>
      </c>
      <c r="AY110" s="414" t="str">
        <f t="shared" si="308"/>
        <v>-</v>
      </c>
      <c r="AZ110" s="414" t="str">
        <f t="shared" si="309"/>
        <v>-</v>
      </c>
      <c r="BA110" s="414" t="str">
        <f t="shared" si="310"/>
        <v>-</v>
      </c>
      <c r="BB110" s="414" t="str">
        <f t="shared" si="311"/>
        <v>-</v>
      </c>
      <c r="BC110" s="417" t="str">
        <f t="shared" si="312"/>
        <v>-</v>
      </c>
    </row>
    <row r="111" spans="1:55" ht="15.75" thickBot="1" x14ac:dyDescent="0.3">
      <c r="A111" s="375" t="s">
        <v>214</v>
      </c>
      <c r="B111" s="376" t="s">
        <v>213</v>
      </c>
      <c r="C111" s="377">
        <v>8</v>
      </c>
      <c r="D111" s="365">
        <f t="shared" si="291"/>
        <v>7.5</v>
      </c>
      <c r="E111" s="366">
        <v>7</v>
      </c>
      <c r="F111" s="378">
        <v>300</v>
      </c>
      <c r="G111" s="378" t="s">
        <v>24</v>
      </c>
      <c r="H111" s="378">
        <v>1200</v>
      </c>
      <c r="I111" s="379">
        <v>2</v>
      </c>
      <c r="J111" s="379">
        <v>0.35</v>
      </c>
      <c r="K111" s="380"/>
      <c r="L111" s="381" t="s">
        <v>24</v>
      </c>
      <c r="M111" s="382" t="s">
        <v>24</v>
      </c>
      <c r="N111" s="383">
        <f t="shared" si="262"/>
        <v>20</v>
      </c>
      <c r="O111" s="384">
        <f t="shared" si="262"/>
        <v>17.142857142857142</v>
      </c>
      <c r="P111" s="384">
        <f t="shared" si="262"/>
        <v>14.285714285714286</v>
      </c>
      <c r="Q111" s="384">
        <f t="shared" si="262"/>
        <v>11.428571428571429</v>
      </c>
      <c r="R111" s="384">
        <f t="shared" si="262"/>
        <v>8.5714285714285712</v>
      </c>
      <c r="S111" s="384">
        <f t="shared" si="262"/>
        <v>5.7142857142857144</v>
      </c>
      <c r="T111" s="384">
        <f t="shared" si="262"/>
        <v>2.8571428571428572</v>
      </c>
      <c r="U111" s="385" t="str">
        <f t="shared" si="262"/>
        <v>-</v>
      </c>
      <c r="V111" s="385" t="str">
        <f t="shared" si="262"/>
        <v>-</v>
      </c>
      <c r="W111" s="386" t="str">
        <f t="shared" si="262"/>
        <v>-</v>
      </c>
      <c r="X111" s="384" t="str">
        <f t="shared" si="263"/>
        <v>-</v>
      </c>
      <c r="Y111" s="384" t="str">
        <f t="shared" si="263"/>
        <v>-</v>
      </c>
      <c r="Z111" s="387" t="str">
        <f t="shared" si="263"/>
        <v>-</v>
      </c>
      <c r="AA111" s="384" t="str">
        <f t="shared" si="263"/>
        <v>-</v>
      </c>
      <c r="AB111" s="384" t="str">
        <f t="shared" si="263"/>
        <v>-</v>
      </c>
      <c r="AC111" s="384" t="str">
        <f t="shared" si="263"/>
        <v>-</v>
      </c>
      <c r="AD111" s="384" t="str">
        <f t="shared" si="263"/>
        <v>-</v>
      </c>
      <c r="AE111" s="384" t="str">
        <f t="shared" si="263"/>
        <v>-</v>
      </c>
      <c r="AF111" s="384" t="str">
        <f t="shared" si="263"/>
        <v>-</v>
      </c>
      <c r="AG111" s="385" t="str">
        <f t="shared" si="263"/>
        <v>-</v>
      </c>
      <c r="AH111" s="386" t="str">
        <f t="shared" si="263"/>
        <v>-</v>
      </c>
      <c r="AI111" s="383">
        <f t="shared" si="292"/>
        <v>2.6666666666666665</v>
      </c>
      <c r="AJ111" s="384">
        <f t="shared" si="293"/>
        <v>2.2857142857142856</v>
      </c>
      <c r="AK111" s="384">
        <f t="shared" si="294"/>
        <v>1.9047619047619049</v>
      </c>
      <c r="AL111" s="384">
        <f t="shared" si="295"/>
        <v>1.5238095238095239</v>
      </c>
      <c r="AM111" s="384">
        <f t="shared" si="296"/>
        <v>1.1428571428571428</v>
      </c>
      <c r="AN111" s="384">
        <f t="shared" si="297"/>
        <v>0.76190476190476197</v>
      </c>
      <c r="AO111" s="384">
        <f t="shared" si="298"/>
        <v>0.38095238095238099</v>
      </c>
      <c r="AP111" s="385" t="str">
        <f t="shared" si="299"/>
        <v>-</v>
      </c>
      <c r="AQ111" s="385" t="str">
        <f t="shared" si="300"/>
        <v>-</v>
      </c>
      <c r="AR111" s="385" t="str">
        <f t="shared" si="301"/>
        <v>-</v>
      </c>
      <c r="AS111" s="384" t="str">
        <f t="shared" si="302"/>
        <v>-</v>
      </c>
      <c r="AT111" s="384" t="str">
        <f t="shared" si="303"/>
        <v>-</v>
      </c>
      <c r="AU111" s="384" t="str">
        <f t="shared" si="304"/>
        <v>-</v>
      </c>
      <c r="AV111" s="384" t="str">
        <f t="shared" si="305"/>
        <v>-</v>
      </c>
      <c r="AW111" s="384" t="str">
        <f t="shared" si="306"/>
        <v>-</v>
      </c>
      <c r="AX111" s="384" t="str">
        <f t="shared" si="307"/>
        <v>-</v>
      </c>
      <c r="AY111" s="385" t="str">
        <f t="shared" si="308"/>
        <v>-</v>
      </c>
      <c r="AZ111" s="385" t="str">
        <f t="shared" si="309"/>
        <v>-</v>
      </c>
      <c r="BA111" s="385" t="str">
        <f t="shared" si="310"/>
        <v>-</v>
      </c>
      <c r="BB111" s="385" t="str">
        <f t="shared" si="311"/>
        <v>-</v>
      </c>
      <c r="BC111" s="388" t="str">
        <f t="shared" si="312"/>
        <v>-</v>
      </c>
    </row>
    <row r="112" spans="1:55" x14ac:dyDescent="0.25">
      <c r="A112" s="791" t="s">
        <v>216</v>
      </c>
      <c r="B112" s="419" t="s">
        <v>9</v>
      </c>
      <c r="C112" s="420">
        <v>2</v>
      </c>
      <c r="D112" s="421">
        <f>45/6</f>
        <v>7.5</v>
      </c>
      <c r="E112" s="422">
        <v>8</v>
      </c>
      <c r="F112" s="422">
        <v>280</v>
      </c>
      <c r="G112" s="422" t="s">
        <v>24</v>
      </c>
      <c r="H112" s="422">
        <v>140</v>
      </c>
      <c r="I112" s="423">
        <v>3</v>
      </c>
      <c r="J112" s="423">
        <v>2.9</v>
      </c>
      <c r="K112" s="424"/>
      <c r="L112" s="425" t="s">
        <v>24</v>
      </c>
      <c r="M112" s="426" t="s">
        <v>24</v>
      </c>
      <c r="N112" s="427">
        <f t="shared" si="262"/>
        <v>2.7586206896551726</v>
      </c>
      <c r="O112" s="428">
        <f t="shared" si="262"/>
        <v>2.2413793103448278</v>
      </c>
      <c r="P112" s="428">
        <f t="shared" si="262"/>
        <v>1.7241379310344829</v>
      </c>
      <c r="Q112" s="428">
        <f t="shared" si="262"/>
        <v>1.2068965517241379</v>
      </c>
      <c r="R112" s="428">
        <f t="shared" si="262"/>
        <v>0.68965517241379315</v>
      </c>
      <c r="S112" s="428">
        <f t="shared" si="262"/>
        <v>0.17241379310344829</v>
      </c>
      <c r="T112" s="428" t="str">
        <f t="shared" si="262"/>
        <v>-</v>
      </c>
      <c r="U112" s="429" t="str">
        <f t="shared" si="262"/>
        <v>-</v>
      </c>
      <c r="V112" s="429" t="str">
        <f t="shared" si="262"/>
        <v>-</v>
      </c>
      <c r="W112" s="430" t="str">
        <f t="shared" si="262"/>
        <v>-</v>
      </c>
      <c r="X112" s="428" t="str">
        <f t="shared" si="263"/>
        <v>-</v>
      </c>
      <c r="Y112" s="428" t="str">
        <f t="shared" si="263"/>
        <v>-</v>
      </c>
      <c r="Z112" s="431" t="str">
        <f t="shared" si="263"/>
        <v>-</v>
      </c>
      <c r="AA112" s="428" t="str">
        <f t="shared" si="263"/>
        <v>-</v>
      </c>
      <c r="AB112" s="428" t="str">
        <f t="shared" si="263"/>
        <v>-</v>
      </c>
      <c r="AC112" s="428" t="str">
        <f t="shared" si="263"/>
        <v>-</v>
      </c>
      <c r="AD112" s="428" t="str">
        <f t="shared" si="263"/>
        <v>-</v>
      </c>
      <c r="AE112" s="428" t="str">
        <f t="shared" si="263"/>
        <v>-</v>
      </c>
      <c r="AF112" s="428" t="str">
        <f t="shared" si="263"/>
        <v>-</v>
      </c>
      <c r="AG112" s="429" t="str">
        <f t="shared" si="263"/>
        <v>-</v>
      </c>
      <c r="AH112" s="430" t="str">
        <f t="shared" si="263"/>
        <v>-</v>
      </c>
      <c r="AI112" s="427">
        <f t="shared" si="292"/>
        <v>0.36781609195402304</v>
      </c>
      <c r="AJ112" s="428">
        <f t="shared" si="293"/>
        <v>0.2988505747126437</v>
      </c>
      <c r="AK112" s="428">
        <f t="shared" si="294"/>
        <v>0.22988505747126439</v>
      </c>
      <c r="AL112" s="428">
        <f t="shared" si="295"/>
        <v>0.16091954022988506</v>
      </c>
      <c r="AM112" s="428">
        <f t="shared" si="296"/>
        <v>9.195402298850576E-2</v>
      </c>
      <c r="AN112" s="428">
        <f t="shared" si="297"/>
        <v>2.298850574712644E-2</v>
      </c>
      <c r="AO112" s="428" t="str">
        <f t="shared" si="298"/>
        <v>-</v>
      </c>
      <c r="AP112" s="429" t="str">
        <f t="shared" si="299"/>
        <v>-</v>
      </c>
      <c r="AQ112" s="429" t="str">
        <f t="shared" si="300"/>
        <v>-</v>
      </c>
      <c r="AR112" s="429" t="str">
        <f t="shared" si="301"/>
        <v>-</v>
      </c>
      <c r="AS112" s="428" t="str">
        <f t="shared" si="302"/>
        <v>-</v>
      </c>
      <c r="AT112" s="428" t="str">
        <f t="shared" si="303"/>
        <v>-</v>
      </c>
      <c r="AU112" s="428" t="str">
        <f t="shared" si="304"/>
        <v>-</v>
      </c>
      <c r="AV112" s="428" t="str">
        <f t="shared" si="305"/>
        <v>-</v>
      </c>
      <c r="AW112" s="428" t="str">
        <f t="shared" si="306"/>
        <v>-</v>
      </c>
      <c r="AX112" s="428" t="str">
        <f t="shared" si="307"/>
        <v>-</v>
      </c>
      <c r="AY112" s="429" t="str">
        <f t="shared" si="308"/>
        <v>-</v>
      </c>
      <c r="AZ112" s="429" t="str">
        <f t="shared" si="309"/>
        <v>-</v>
      </c>
      <c r="BA112" s="429" t="str">
        <f t="shared" si="310"/>
        <v>-</v>
      </c>
      <c r="BB112" s="429" t="str">
        <f t="shared" si="311"/>
        <v>-</v>
      </c>
      <c r="BC112" s="432" t="str">
        <f t="shared" si="312"/>
        <v>-</v>
      </c>
    </row>
    <row r="113" spans="1:55" x14ac:dyDescent="0.25">
      <c r="A113" s="792"/>
      <c r="B113" s="433" t="s">
        <v>10</v>
      </c>
      <c r="C113" s="434">
        <v>3</v>
      </c>
      <c r="D113" s="435">
        <f t="shared" ref="D113:D123" si="313">45/6</f>
        <v>7.5</v>
      </c>
      <c r="E113" s="436">
        <v>10</v>
      </c>
      <c r="F113" s="436">
        <v>290</v>
      </c>
      <c r="G113" s="436" t="s">
        <v>24</v>
      </c>
      <c r="H113" s="436">
        <v>150</v>
      </c>
      <c r="I113" s="437">
        <v>3</v>
      </c>
      <c r="J113" s="437">
        <v>2.9</v>
      </c>
      <c r="K113" s="438"/>
      <c r="L113" s="439" t="s">
        <v>24</v>
      </c>
      <c r="M113" s="440" t="s">
        <v>24</v>
      </c>
      <c r="N113" s="441">
        <f t="shared" si="262"/>
        <v>3.4482758620689657</v>
      </c>
      <c r="O113" s="442">
        <f t="shared" si="262"/>
        <v>2.931034482758621</v>
      </c>
      <c r="P113" s="442">
        <f t="shared" si="262"/>
        <v>2.4137931034482758</v>
      </c>
      <c r="Q113" s="442">
        <f t="shared" si="262"/>
        <v>1.896551724137931</v>
      </c>
      <c r="R113" s="442">
        <f t="shared" si="262"/>
        <v>1.3793103448275863</v>
      </c>
      <c r="S113" s="442">
        <f t="shared" si="262"/>
        <v>0.86206896551724144</v>
      </c>
      <c r="T113" s="442" t="str">
        <f t="shared" si="262"/>
        <v>-</v>
      </c>
      <c r="U113" s="443" t="str">
        <f t="shared" si="262"/>
        <v>-</v>
      </c>
      <c r="V113" s="443" t="str">
        <f t="shared" si="262"/>
        <v>-</v>
      </c>
      <c r="W113" s="444" t="str">
        <f t="shared" si="262"/>
        <v>-</v>
      </c>
      <c r="X113" s="442" t="str">
        <f t="shared" si="263"/>
        <v>-</v>
      </c>
      <c r="Y113" s="442" t="str">
        <f t="shared" si="263"/>
        <v>-</v>
      </c>
      <c r="Z113" s="445" t="str">
        <f t="shared" si="263"/>
        <v>-</v>
      </c>
      <c r="AA113" s="442" t="str">
        <f t="shared" si="263"/>
        <v>-</v>
      </c>
      <c r="AB113" s="442" t="str">
        <f t="shared" si="263"/>
        <v>-</v>
      </c>
      <c r="AC113" s="442" t="str">
        <f t="shared" si="263"/>
        <v>-</v>
      </c>
      <c r="AD113" s="442" t="str">
        <f t="shared" si="263"/>
        <v>-</v>
      </c>
      <c r="AE113" s="442" t="str">
        <f t="shared" si="263"/>
        <v>-</v>
      </c>
      <c r="AF113" s="442" t="str">
        <f t="shared" si="263"/>
        <v>-</v>
      </c>
      <c r="AG113" s="443" t="str">
        <f t="shared" si="263"/>
        <v>-</v>
      </c>
      <c r="AH113" s="444" t="str">
        <f t="shared" si="263"/>
        <v>-</v>
      </c>
      <c r="AI113" s="441">
        <f t="shared" ref="AI113:AI123" si="314">IF(N$2&lt;=$F113,N113/$D113,"-")</f>
        <v>0.45977011494252878</v>
      </c>
      <c r="AJ113" s="442">
        <f t="shared" ref="AJ113:AJ123" si="315">IF(O$2&lt;=$F113,O113/$D113,"-")</f>
        <v>0.39080459770114945</v>
      </c>
      <c r="AK113" s="442">
        <f t="shared" ref="AK113:AK123" si="316">IF(P$2&lt;=$F113,P113/$D113,"-")</f>
        <v>0.32183908045977011</v>
      </c>
      <c r="AL113" s="442">
        <f t="shared" ref="AL113:AL123" si="317">IF(Q$2&lt;=$F113,Q113/$D113,"-")</f>
        <v>0.25287356321839083</v>
      </c>
      <c r="AM113" s="442">
        <f t="shared" ref="AM113:AM123" si="318">IF(R$2&lt;=$F113,R113/$D113,"-")</f>
        <v>0.18390804597701152</v>
      </c>
      <c r="AN113" s="442">
        <f t="shared" ref="AN113:AN123" si="319">IF(S$2&lt;=$F113,S113/$D113,"-")</f>
        <v>0.1149425287356322</v>
      </c>
      <c r="AO113" s="442" t="str">
        <f t="shared" ref="AO113:AO123" si="320">IF(T$2&lt;=$F113,T113/$D113,"-")</f>
        <v>-</v>
      </c>
      <c r="AP113" s="443" t="str">
        <f t="shared" ref="AP113:AP123" si="321">IF(U$2&lt;=$F113,U113/$D113,"-")</f>
        <v>-</v>
      </c>
      <c r="AQ113" s="443" t="str">
        <f t="shared" ref="AQ113:AQ123" si="322">IF(V$2&lt;=$F113,V113/$D113,"-")</f>
        <v>-</v>
      </c>
      <c r="AR113" s="443" t="str">
        <f t="shared" ref="AR113:AR123" si="323">IF(W$2&lt;=$F113,W113/$D113,"-")</f>
        <v>-</v>
      </c>
      <c r="AS113" s="442" t="str">
        <f t="shared" ref="AS113:AS123" si="324">IF(X$2&lt;=$F113,X113/$D113,"-")</f>
        <v>-</v>
      </c>
      <c r="AT113" s="442" t="str">
        <f t="shared" ref="AT113:AT123" si="325">IF(Y$2&lt;=$F113,Y113/$D113,"-")</f>
        <v>-</v>
      </c>
      <c r="AU113" s="442" t="str">
        <f t="shared" ref="AU113:AU123" si="326">IF(Z$2&lt;=$F113,Z113/$D113,"-")</f>
        <v>-</v>
      </c>
      <c r="AV113" s="442" t="str">
        <f t="shared" ref="AV113:AV123" si="327">IF(AA$2&lt;=$F113,AA113/$D113,"-")</f>
        <v>-</v>
      </c>
      <c r="AW113" s="442" t="str">
        <f t="shared" ref="AW113:AW123" si="328">IF(AB$2&lt;=$F113,AB113/$D113,"-")</f>
        <v>-</v>
      </c>
      <c r="AX113" s="442" t="str">
        <f t="shared" ref="AX113:AX123" si="329">IF(AC$2&lt;=$F113,AC113/$D113,"-")</f>
        <v>-</v>
      </c>
      <c r="AY113" s="443" t="str">
        <f t="shared" ref="AY113:AY123" si="330">IF(AD$2&lt;=$F113,AD113/$D113,"-")</f>
        <v>-</v>
      </c>
      <c r="AZ113" s="443" t="str">
        <f t="shared" ref="AZ113:AZ123" si="331">IF(AE$2&lt;=$F113,AE113/$D113,"-")</f>
        <v>-</v>
      </c>
      <c r="BA113" s="443" t="str">
        <f t="shared" ref="BA113:BA123" si="332">IF(AF$2&lt;=$F113,AF113/$D113,"-")</f>
        <v>-</v>
      </c>
      <c r="BB113" s="443" t="str">
        <f t="shared" ref="BB113:BB123" si="333">IF(AG$2&lt;=$F113,AG113/$D113,"-")</f>
        <v>-</v>
      </c>
      <c r="BC113" s="446" t="str">
        <f t="shared" ref="BC113:BC123" si="334">IF(AH$2&lt;=$F113,AH113/$D113,"-")</f>
        <v>-</v>
      </c>
    </row>
    <row r="114" spans="1:55" x14ac:dyDescent="0.25">
      <c r="A114" s="792"/>
      <c r="B114" s="433" t="s">
        <v>11</v>
      </c>
      <c r="C114" s="434">
        <v>4</v>
      </c>
      <c r="D114" s="435">
        <f t="shared" si="313"/>
        <v>7.5</v>
      </c>
      <c r="E114" s="436">
        <v>13</v>
      </c>
      <c r="F114" s="436">
        <v>300</v>
      </c>
      <c r="G114" s="436" t="s">
        <v>24</v>
      </c>
      <c r="H114" s="436">
        <v>160</v>
      </c>
      <c r="I114" s="437">
        <v>3</v>
      </c>
      <c r="J114" s="437">
        <v>3.4</v>
      </c>
      <c r="K114" s="438"/>
      <c r="L114" s="439" t="s">
        <v>24</v>
      </c>
      <c r="M114" s="440" t="s">
        <v>24</v>
      </c>
      <c r="N114" s="441">
        <f t="shared" si="262"/>
        <v>3.8235294117647061</v>
      </c>
      <c r="O114" s="442">
        <f t="shared" si="262"/>
        <v>3.3823529411764706</v>
      </c>
      <c r="P114" s="442">
        <f t="shared" si="262"/>
        <v>2.9411764705882355</v>
      </c>
      <c r="Q114" s="442">
        <f t="shared" si="262"/>
        <v>2.5</v>
      </c>
      <c r="R114" s="442">
        <f t="shared" si="262"/>
        <v>2.0588235294117649</v>
      </c>
      <c r="S114" s="442">
        <f t="shared" si="262"/>
        <v>1.6176470588235294</v>
      </c>
      <c r="T114" s="442">
        <f t="shared" si="262"/>
        <v>1.1764705882352942</v>
      </c>
      <c r="U114" s="443" t="str">
        <f t="shared" si="262"/>
        <v>-</v>
      </c>
      <c r="V114" s="443" t="str">
        <f t="shared" si="262"/>
        <v>-</v>
      </c>
      <c r="W114" s="444" t="str">
        <f t="shared" si="262"/>
        <v>-</v>
      </c>
      <c r="X114" s="442" t="str">
        <f t="shared" si="263"/>
        <v>-</v>
      </c>
      <c r="Y114" s="442" t="str">
        <f t="shared" si="263"/>
        <v>-</v>
      </c>
      <c r="Z114" s="445" t="str">
        <f t="shared" si="263"/>
        <v>-</v>
      </c>
      <c r="AA114" s="442" t="str">
        <f t="shared" si="263"/>
        <v>-</v>
      </c>
      <c r="AB114" s="442" t="str">
        <f t="shared" si="263"/>
        <v>-</v>
      </c>
      <c r="AC114" s="442" t="str">
        <f t="shared" si="263"/>
        <v>-</v>
      </c>
      <c r="AD114" s="442" t="str">
        <f t="shared" si="263"/>
        <v>-</v>
      </c>
      <c r="AE114" s="442" t="str">
        <f t="shared" si="263"/>
        <v>-</v>
      </c>
      <c r="AF114" s="442" t="str">
        <f t="shared" si="263"/>
        <v>-</v>
      </c>
      <c r="AG114" s="443" t="str">
        <f t="shared" si="263"/>
        <v>-</v>
      </c>
      <c r="AH114" s="444" t="str">
        <f t="shared" si="263"/>
        <v>-</v>
      </c>
      <c r="AI114" s="441">
        <f t="shared" si="314"/>
        <v>0.50980392156862753</v>
      </c>
      <c r="AJ114" s="442">
        <f t="shared" si="315"/>
        <v>0.45098039215686275</v>
      </c>
      <c r="AK114" s="442">
        <f t="shared" si="316"/>
        <v>0.39215686274509809</v>
      </c>
      <c r="AL114" s="442">
        <f t="shared" si="317"/>
        <v>0.33333333333333331</v>
      </c>
      <c r="AM114" s="442">
        <f t="shared" si="318"/>
        <v>0.27450980392156865</v>
      </c>
      <c r="AN114" s="442">
        <f t="shared" si="319"/>
        <v>0.21568627450980393</v>
      </c>
      <c r="AO114" s="442">
        <f t="shared" si="320"/>
        <v>0.15686274509803921</v>
      </c>
      <c r="AP114" s="443" t="str">
        <f t="shared" si="321"/>
        <v>-</v>
      </c>
      <c r="AQ114" s="443" t="str">
        <f t="shared" si="322"/>
        <v>-</v>
      </c>
      <c r="AR114" s="443" t="str">
        <f t="shared" si="323"/>
        <v>-</v>
      </c>
      <c r="AS114" s="442" t="str">
        <f t="shared" si="324"/>
        <v>-</v>
      </c>
      <c r="AT114" s="442" t="str">
        <f t="shared" si="325"/>
        <v>-</v>
      </c>
      <c r="AU114" s="442" t="str">
        <f t="shared" si="326"/>
        <v>-</v>
      </c>
      <c r="AV114" s="442" t="str">
        <f t="shared" si="327"/>
        <v>-</v>
      </c>
      <c r="AW114" s="442" t="str">
        <f t="shared" si="328"/>
        <v>-</v>
      </c>
      <c r="AX114" s="442" t="str">
        <f t="shared" si="329"/>
        <v>-</v>
      </c>
      <c r="AY114" s="443" t="str">
        <f t="shared" si="330"/>
        <v>-</v>
      </c>
      <c r="AZ114" s="443" t="str">
        <f t="shared" si="331"/>
        <v>-</v>
      </c>
      <c r="BA114" s="443" t="str">
        <f t="shared" si="332"/>
        <v>-</v>
      </c>
      <c r="BB114" s="443" t="str">
        <f t="shared" si="333"/>
        <v>-</v>
      </c>
      <c r="BC114" s="446" t="str">
        <f t="shared" si="334"/>
        <v>-</v>
      </c>
    </row>
    <row r="115" spans="1:55" x14ac:dyDescent="0.25">
      <c r="A115" s="792"/>
      <c r="B115" s="433" t="s">
        <v>23</v>
      </c>
      <c r="C115" s="434">
        <v>5</v>
      </c>
      <c r="D115" s="435">
        <f t="shared" si="313"/>
        <v>7.5</v>
      </c>
      <c r="E115" s="436">
        <v>17</v>
      </c>
      <c r="F115" s="436">
        <v>320</v>
      </c>
      <c r="G115" s="436" t="s">
        <v>24</v>
      </c>
      <c r="H115" s="436">
        <v>170</v>
      </c>
      <c r="I115" s="437">
        <v>3</v>
      </c>
      <c r="J115" s="437">
        <v>3.3</v>
      </c>
      <c r="K115" s="438"/>
      <c r="L115" s="439" t="s">
        <v>24</v>
      </c>
      <c r="M115" s="440" t="s">
        <v>24</v>
      </c>
      <c r="N115" s="441">
        <f t="shared" ref="N115:AC123" si="335">IF(AND(N$2&lt;=$F115,($E115-$I115*N$2/100)/$J115&gt;0),($E115-$I115*N$2/100)/$J115,"-")</f>
        <v>5.1515151515151514</v>
      </c>
      <c r="O115" s="442">
        <f t="shared" si="335"/>
        <v>4.6969696969696972</v>
      </c>
      <c r="P115" s="442">
        <f t="shared" si="335"/>
        <v>4.2424242424242422</v>
      </c>
      <c r="Q115" s="442">
        <f t="shared" si="335"/>
        <v>3.7878787878787881</v>
      </c>
      <c r="R115" s="442">
        <f t="shared" si="335"/>
        <v>3.3333333333333335</v>
      </c>
      <c r="S115" s="442">
        <f t="shared" si="335"/>
        <v>2.8787878787878789</v>
      </c>
      <c r="T115" s="442">
        <f t="shared" si="335"/>
        <v>2.4242424242424243</v>
      </c>
      <c r="U115" s="443" t="str">
        <f t="shared" si="335"/>
        <v>-</v>
      </c>
      <c r="V115" s="443" t="str">
        <f t="shared" si="335"/>
        <v>-</v>
      </c>
      <c r="W115" s="444" t="str">
        <f t="shared" si="335"/>
        <v>-</v>
      </c>
      <c r="X115" s="442" t="str">
        <f t="shared" si="335"/>
        <v>-</v>
      </c>
      <c r="Y115" s="442" t="str">
        <f t="shared" si="335"/>
        <v>-</v>
      </c>
      <c r="Z115" s="445" t="str">
        <f t="shared" si="335"/>
        <v>-</v>
      </c>
      <c r="AA115" s="442" t="str">
        <f t="shared" si="335"/>
        <v>-</v>
      </c>
      <c r="AB115" s="442" t="str">
        <f t="shared" si="335"/>
        <v>-</v>
      </c>
      <c r="AC115" s="442" t="str">
        <f t="shared" si="335"/>
        <v>-</v>
      </c>
      <c r="AD115" s="442" t="str">
        <f t="shared" ref="AD115:AH123" si="336">IF(AND(AD$2&lt;=$F115,($E115-$I115*AD$2/100)/$J115&gt;0),($E115-$I115*AD$2/100)/$J115,"-")</f>
        <v>-</v>
      </c>
      <c r="AE115" s="442" t="str">
        <f t="shared" si="336"/>
        <v>-</v>
      </c>
      <c r="AF115" s="442" t="str">
        <f t="shared" si="336"/>
        <v>-</v>
      </c>
      <c r="AG115" s="443" t="str">
        <f t="shared" si="336"/>
        <v>-</v>
      </c>
      <c r="AH115" s="444" t="str">
        <f t="shared" si="336"/>
        <v>-</v>
      </c>
      <c r="AI115" s="441">
        <f t="shared" si="314"/>
        <v>0.68686868686868685</v>
      </c>
      <c r="AJ115" s="442">
        <f t="shared" si="315"/>
        <v>0.6262626262626263</v>
      </c>
      <c r="AK115" s="442">
        <f t="shared" si="316"/>
        <v>0.56565656565656564</v>
      </c>
      <c r="AL115" s="442">
        <f t="shared" si="317"/>
        <v>0.50505050505050508</v>
      </c>
      <c r="AM115" s="442">
        <f t="shared" si="318"/>
        <v>0.44444444444444448</v>
      </c>
      <c r="AN115" s="442">
        <f t="shared" si="319"/>
        <v>0.38383838383838387</v>
      </c>
      <c r="AO115" s="442">
        <f t="shared" si="320"/>
        <v>0.32323232323232326</v>
      </c>
      <c r="AP115" s="443" t="str">
        <f t="shared" si="321"/>
        <v>-</v>
      </c>
      <c r="AQ115" s="443" t="str">
        <f t="shared" si="322"/>
        <v>-</v>
      </c>
      <c r="AR115" s="443" t="str">
        <f t="shared" si="323"/>
        <v>-</v>
      </c>
      <c r="AS115" s="442" t="str">
        <f t="shared" si="324"/>
        <v>-</v>
      </c>
      <c r="AT115" s="442" t="str">
        <f t="shared" si="325"/>
        <v>-</v>
      </c>
      <c r="AU115" s="442" t="str">
        <f t="shared" si="326"/>
        <v>-</v>
      </c>
      <c r="AV115" s="442" t="str">
        <f t="shared" si="327"/>
        <v>-</v>
      </c>
      <c r="AW115" s="442" t="str">
        <f t="shared" si="328"/>
        <v>-</v>
      </c>
      <c r="AX115" s="442" t="str">
        <f t="shared" si="329"/>
        <v>-</v>
      </c>
      <c r="AY115" s="443" t="str">
        <f t="shared" si="330"/>
        <v>-</v>
      </c>
      <c r="AZ115" s="443" t="str">
        <f t="shared" si="331"/>
        <v>-</v>
      </c>
      <c r="BA115" s="443" t="str">
        <f t="shared" si="332"/>
        <v>-</v>
      </c>
      <c r="BB115" s="443" t="str">
        <f t="shared" si="333"/>
        <v>-</v>
      </c>
      <c r="BC115" s="446" t="str">
        <f t="shared" si="334"/>
        <v>-</v>
      </c>
    </row>
    <row r="116" spans="1:55" ht="15.75" thickBot="1" x14ac:dyDescent="0.3">
      <c r="A116" s="792"/>
      <c r="B116" s="447" t="s">
        <v>212</v>
      </c>
      <c r="C116" s="448">
        <v>6</v>
      </c>
      <c r="D116" s="449">
        <f t="shared" si="313"/>
        <v>7.5</v>
      </c>
      <c r="E116" s="450">
        <v>19</v>
      </c>
      <c r="F116" s="450">
        <v>340</v>
      </c>
      <c r="G116" s="450" t="s">
        <v>24</v>
      </c>
      <c r="H116" s="450">
        <v>180</v>
      </c>
      <c r="I116" s="451">
        <v>2</v>
      </c>
      <c r="J116" s="451">
        <v>3.2</v>
      </c>
      <c r="K116" s="452"/>
      <c r="L116" s="453" t="s">
        <v>24</v>
      </c>
      <c r="M116" s="454" t="s">
        <v>24</v>
      </c>
      <c r="N116" s="455">
        <f t="shared" si="335"/>
        <v>5.9375</v>
      </c>
      <c r="O116" s="456">
        <f t="shared" si="335"/>
        <v>5.625</v>
      </c>
      <c r="P116" s="456">
        <f t="shared" si="335"/>
        <v>5.3125</v>
      </c>
      <c r="Q116" s="456">
        <f t="shared" si="335"/>
        <v>5</v>
      </c>
      <c r="R116" s="456">
        <f t="shared" si="335"/>
        <v>4.6875</v>
      </c>
      <c r="S116" s="456">
        <f t="shared" si="335"/>
        <v>4.375</v>
      </c>
      <c r="T116" s="456">
        <f t="shared" si="335"/>
        <v>4.0625</v>
      </c>
      <c r="U116" s="457" t="str">
        <f t="shared" si="335"/>
        <v>-</v>
      </c>
      <c r="V116" s="457" t="str">
        <f t="shared" si="335"/>
        <v>-</v>
      </c>
      <c r="W116" s="458" t="str">
        <f t="shared" si="335"/>
        <v>-</v>
      </c>
      <c r="X116" s="456" t="str">
        <f t="shared" si="335"/>
        <v>-</v>
      </c>
      <c r="Y116" s="456" t="str">
        <f t="shared" si="335"/>
        <v>-</v>
      </c>
      <c r="Z116" s="459" t="str">
        <f t="shared" si="335"/>
        <v>-</v>
      </c>
      <c r="AA116" s="456" t="str">
        <f t="shared" si="335"/>
        <v>-</v>
      </c>
      <c r="AB116" s="456" t="str">
        <f t="shared" si="335"/>
        <v>-</v>
      </c>
      <c r="AC116" s="456" t="str">
        <f t="shared" si="335"/>
        <v>-</v>
      </c>
      <c r="AD116" s="456" t="str">
        <f t="shared" si="336"/>
        <v>-</v>
      </c>
      <c r="AE116" s="456" t="str">
        <f t="shared" si="336"/>
        <v>-</v>
      </c>
      <c r="AF116" s="456" t="str">
        <f t="shared" si="336"/>
        <v>-</v>
      </c>
      <c r="AG116" s="457" t="str">
        <f t="shared" si="336"/>
        <v>-</v>
      </c>
      <c r="AH116" s="458" t="str">
        <f t="shared" si="336"/>
        <v>-</v>
      </c>
      <c r="AI116" s="455">
        <f t="shared" si="314"/>
        <v>0.79166666666666663</v>
      </c>
      <c r="AJ116" s="456">
        <f t="shared" si="315"/>
        <v>0.75</v>
      </c>
      <c r="AK116" s="456">
        <f t="shared" si="316"/>
        <v>0.70833333333333337</v>
      </c>
      <c r="AL116" s="456">
        <f t="shared" si="317"/>
        <v>0.66666666666666663</v>
      </c>
      <c r="AM116" s="456">
        <f t="shared" si="318"/>
        <v>0.625</v>
      </c>
      <c r="AN116" s="456">
        <f t="shared" si="319"/>
        <v>0.58333333333333337</v>
      </c>
      <c r="AO116" s="456">
        <f t="shared" si="320"/>
        <v>0.54166666666666663</v>
      </c>
      <c r="AP116" s="457" t="str">
        <f t="shared" si="321"/>
        <v>-</v>
      </c>
      <c r="AQ116" s="457" t="str">
        <f t="shared" si="322"/>
        <v>-</v>
      </c>
      <c r="AR116" s="457" t="str">
        <f t="shared" si="323"/>
        <v>-</v>
      </c>
      <c r="AS116" s="456" t="str">
        <f t="shared" si="324"/>
        <v>-</v>
      </c>
      <c r="AT116" s="456" t="str">
        <f t="shared" si="325"/>
        <v>-</v>
      </c>
      <c r="AU116" s="456" t="str">
        <f t="shared" si="326"/>
        <v>-</v>
      </c>
      <c r="AV116" s="456" t="str">
        <f t="shared" si="327"/>
        <v>-</v>
      </c>
      <c r="AW116" s="456" t="str">
        <f t="shared" si="328"/>
        <v>-</v>
      </c>
      <c r="AX116" s="456" t="str">
        <f t="shared" si="329"/>
        <v>-</v>
      </c>
      <c r="AY116" s="457" t="str">
        <f t="shared" si="330"/>
        <v>-</v>
      </c>
      <c r="AZ116" s="457" t="str">
        <f t="shared" si="331"/>
        <v>-</v>
      </c>
      <c r="BA116" s="457" t="str">
        <f t="shared" si="332"/>
        <v>-</v>
      </c>
      <c r="BB116" s="457" t="str">
        <f t="shared" si="333"/>
        <v>-</v>
      </c>
      <c r="BC116" s="460" t="str">
        <f t="shared" si="334"/>
        <v>-</v>
      </c>
    </row>
    <row r="117" spans="1:55" ht="15.75" thickBot="1" x14ac:dyDescent="0.3">
      <c r="A117" s="461" t="s">
        <v>217</v>
      </c>
      <c r="B117" s="462" t="s">
        <v>213</v>
      </c>
      <c r="C117" s="463">
        <v>8</v>
      </c>
      <c r="D117" s="421">
        <f t="shared" si="313"/>
        <v>7.5</v>
      </c>
      <c r="E117" s="422">
        <v>29</v>
      </c>
      <c r="F117" s="464">
        <v>400</v>
      </c>
      <c r="G117" s="464" t="s">
        <v>24</v>
      </c>
      <c r="H117" s="464">
        <v>200</v>
      </c>
      <c r="I117" s="465">
        <v>1</v>
      </c>
      <c r="J117" s="423">
        <v>3</v>
      </c>
      <c r="K117" s="466"/>
      <c r="L117" s="425" t="s">
        <v>24</v>
      </c>
      <c r="M117" s="467" t="s">
        <v>24</v>
      </c>
      <c r="N117" s="468">
        <f t="shared" si="335"/>
        <v>9.6666666666666661</v>
      </c>
      <c r="O117" s="469">
        <f t="shared" si="335"/>
        <v>9.5</v>
      </c>
      <c r="P117" s="469">
        <f t="shared" si="335"/>
        <v>9.3333333333333339</v>
      </c>
      <c r="Q117" s="469">
        <f t="shared" si="335"/>
        <v>9.1666666666666661</v>
      </c>
      <c r="R117" s="469">
        <f t="shared" si="335"/>
        <v>9</v>
      </c>
      <c r="S117" s="469">
        <f t="shared" si="335"/>
        <v>8.8333333333333339</v>
      </c>
      <c r="T117" s="469">
        <f t="shared" si="335"/>
        <v>8.6666666666666661</v>
      </c>
      <c r="U117" s="470">
        <f t="shared" si="335"/>
        <v>8.5</v>
      </c>
      <c r="V117" s="470">
        <f t="shared" si="335"/>
        <v>8.3333333333333339</v>
      </c>
      <c r="W117" s="471" t="str">
        <f t="shared" si="335"/>
        <v>-</v>
      </c>
      <c r="X117" s="469" t="str">
        <f t="shared" si="335"/>
        <v>-</v>
      </c>
      <c r="Y117" s="469" t="str">
        <f t="shared" si="335"/>
        <v>-</v>
      </c>
      <c r="Z117" s="472" t="str">
        <f t="shared" si="335"/>
        <v>-</v>
      </c>
      <c r="AA117" s="469" t="str">
        <f t="shared" si="335"/>
        <v>-</v>
      </c>
      <c r="AB117" s="469" t="str">
        <f t="shared" si="335"/>
        <v>-</v>
      </c>
      <c r="AC117" s="469" t="str">
        <f t="shared" si="335"/>
        <v>-</v>
      </c>
      <c r="AD117" s="469" t="str">
        <f t="shared" si="336"/>
        <v>-</v>
      </c>
      <c r="AE117" s="469" t="str">
        <f t="shared" si="336"/>
        <v>-</v>
      </c>
      <c r="AF117" s="469" t="str">
        <f t="shared" si="336"/>
        <v>-</v>
      </c>
      <c r="AG117" s="470" t="str">
        <f t="shared" si="336"/>
        <v>-</v>
      </c>
      <c r="AH117" s="471" t="str">
        <f t="shared" si="336"/>
        <v>-</v>
      </c>
      <c r="AI117" s="468">
        <f t="shared" si="314"/>
        <v>1.2888888888888888</v>
      </c>
      <c r="AJ117" s="469">
        <f t="shared" si="315"/>
        <v>1.2666666666666666</v>
      </c>
      <c r="AK117" s="469">
        <f t="shared" si="316"/>
        <v>1.2444444444444445</v>
      </c>
      <c r="AL117" s="469">
        <f t="shared" si="317"/>
        <v>1.2222222222222221</v>
      </c>
      <c r="AM117" s="469">
        <f t="shared" si="318"/>
        <v>1.2</v>
      </c>
      <c r="AN117" s="469">
        <f t="shared" si="319"/>
        <v>1.1777777777777778</v>
      </c>
      <c r="AO117" s="469">
        <f t="shared" si="320"/>
        <v>1.1555555555555554</v>
      </c>
      <c r="AP117" s="470">
        <f t="shared" si="321"/>
        <v>1.1333333333333333</v>
      </c>
      <c r="AQ117" s="470">
        <f t="shared" si="322"/>
        <v>1.1111111111111112</v>
      </c>
      <c r="AR117" s="470" t="str">
        <f t="shared" si="323"/>
        <v>-</v>
      </c>
      <c r="AS117" s="469" t="str">
        <f t="shared" si="324"/>
        <v>-</v>
      </c>
      <c r="AT117" s="469" t="str">
        <f t="shared" si="325"/>
        <v>-</v>
      </c>
      <c r="AU117" s="469" t="str">
        <f t="shared" si="326"/>
        <v>-</v>
      </c>
      <c r="AV117" s="469" t="str">
        <f t="shared" si="327"/>
        <v>-</v>
      </c>
      <c r="AW117" s="469" t="str">
        <f t="shared" si="328"/>
        <v>-</v>
      </c>
      <c r="AX117" s="469" t="str">
        <f t="shared" si="329"/>
        <v>-</v>
      </c>
      <c r="AY117" s="470" t="str">
        <f t="shared" si="330"/>
        <v>-</v>
      </c>
      <c r="AZ117" s="470" t="str">
        <f t="shared" si="331"/>
        <v>-</v>
      </c>
      <c r="BA117" s="470" t="str">
        <f t="shared" si="332"/>
        <v>-</v>
      </c>
      <c r="BB117" s="470" t="str">
        <f t="shared" si="333"/>
        <v>-</v>
      </c>
      <c r="BC117" s="473" t="str">
        <f t="shared" si="334"/>
        <v>-</v>
      </c>
    </row>
    <row r="118" spans="1:55" x14ac:dyDescent="0.25">
      <c r="A118" s="793" t="s">
        <v>218</v>
      </c>
      <c r="B118" s="474" t="s">
        <v>9</v>
      </c>
      <c r="C118" s="475">
        <v>2</v>
      </c>
      <c r="D118" s="476">
        <f t="shared" si="313"/>
        <v>7.5</v>
      </c>
      <c r="E118" s="477">
        <v>8</v>
      </c>
      <c r="F118" s="477">
        <v>350</v>
      </c>
      <c r="G118" s="477" t="s">
        <v>24</v>
      </c>
      <c r="H118" s="477">
        <v>200</v>
      </c>
      <c r="I118" s="478">
        <v>0</v>
      </c>
      <c r="J118" s="478">
        <v>3.1</v>
      </c>
      <c r="K118" s="479"/>
      <c r="L118" s="480" t="s">
        <v>24</v>
      </c>
      <c r="M118" s="481" t="s">
        <v>24</v>
      </c>
      <c r="N118" s="482">
        <f t="shared" si="335"/>
        <v>2.5806451612903225</v>
      </c>
      <c r="O118" s="483">
        <f t="shared" si="335"/>
        <v>2.5806451612903225</v>
      </c>
      <c r="P118" s="483">
        <f t="shared" si="335"/>
        <v>2.5806451612903225</v>
      </c>
      <c r="Q118" s="483">
        <f t="shared" si="335"/>
        <v>2.5806451612903225</v>
      </c>
      <c r="R118" s="483">
        <f t="shared" si="335"/>
        <v>2.5806451612903225</v>
      </c>
      <c r="S118" s="483">
        <f t="shared" si="335"/>
        <v>2.5806451612903225</v>
      </c>
      <c r="T118" s="483">
        <f t="shared" si="335"/>
        <v>2.5806451612903225</v>
      </c>
      <c r="U118" s="484">
        <f t="shared" si="335"/>
        <v>2.5806451612903225</v>
      </c>
      <c r="V118" s="484" t="str">
        <f t="shared" si="335"/>
        <v>-</v>
      </c>
      <c r="W118" s="485" t="str">
        <f t="shared" si="335"/>
        <v>-</v>
      </c>
      <c r="X118" s="483" t="str">
        <f t="shared" si="335"/>
        <v>-</v>
      </c>
      <c r="Y118" s="483" t="str">
        <f t="shared" si="335"/>
        <v>-</v>
      </c>
      <c r="Z118" s="486" t="str">
        <f t="shared" si="335"/>
        <v>-</v>
      </c>
      <c r="AA118" s="483" t="str">
        <f t="shared" si="335"/>
        <v>-</v>
      </c>
      <c r="AB118" s="483" t="str">
        <f t="shared" si="335"/>
        <v>-</v>
      </c>
      <c r="AC118" s="483" t="str">
        <f t="shared" si="335"/>
        <v>-</v>
      </c>
      <c r="AD118" s="483" t="str">
        <f t="shared" si="336"/>
        <v>-</v>
      </c>
      <c r="AE118" s="483" t="str">
        <f t="shared" si="336"/>
        <v>-</v>
      </c>
      <c r="AF118" s="483" t="str">
        <f t="shared" si="336"/>
        <v>-</v>
      </c>
      <c r="AG118" s="484" t="str">
        <f t="shared" si="336"/>
        <v>-</v>
      </c>
      <c r="AH118" s="485" t="str">
        <f t="shared" si="336"/>
        <v>-</v>
      </c>
      <c r="AI118" s="482">
        <f t="shared" si="314"/>
        <v>0.34408602150537632</v>
      </c>
      <c r="AJ118" s="483">
        <f t="shared" si="315"/>
        <v>0.34408602150537632</v>
      </c>
      <c r="AK118" s="483">
        <f t="shared" si="316"/>
        <v>0.34408602150537632</v>
      </c>
      <c r="AL118" s="483">
        <f t="shared" si="317"/>
        <v>0.34408602150537632</v>
      </c>
      <c r="AM118" s="483">
        <f t="shared" si="318"/>
        <v>0.34408602150537632</v>
      </c>
      <c r="AN118" s="483">
        <f t="shared" si="319"/>
        <v>0.34408602150537632</v>
      </c>
      <c r="AO118" s="483">
        <f t="shared" si="320"/>
        <v>0.34408602150537632</v>
      </c>
      <c r="AP118" s="484">
        <f t="shared" si="321"/>
        <v>0.34408602150537632</v>
      </c>
      <c r="AQ118" s="484" t="str">
        <f t="shared" si="322"/>
        <v>-</v>
      </c>
      <c r="AR118" s="484" t="str">
        <f t="shared" si="323"/>
        <v>-</v>
      </c>
      <c r="AS118" s="483" t="str">
        <f t="shared" si="324"/>
        <v>-</v>
      </c>
      <c r="AT118" s="483" t="str">
        <f t="shared" si="325"/>
        <v>-</v>
      </c>
      <c r="AU118" s="483" t="str">
        <f t="shared" si="326"/>
        <v>-</v>
      </c>
      <c r="AV118" s="483" t="str">
        <f t="shared" si="327"/>
        <v>-</v>
      </c>
      <c r="AW118" s="483" t="str">
        <f t="shared" si="328"/>
        <v>-</v>
      </c>
      <c r="AX118" s="483" t="str">
        <f t="shared" si="329"/>
        <v>-</v>
      </c>
      <c r="AY118" s="484" t="str">
        <f t="shared" si="330"/>
        <v>-</v>
      </c>
      <c r="AZ118" s="484" t="str">
        <f t="shared" si="331"/>
        <v>-</v>
      </c>
      <c r="BA118" s="484" t="str">
        <f t="shared" si="332"/>
        <v>-</v>
      </c>
      <c r="BB118" s="484" t="str">
        <f t="shared" si="333"/>
        <v>-</v>
      </c>
      <c r="BC118" s="487" t="str">
        <f t="shared" si="334"/>
        <v>-</v>
      </c>
    </row>
    <row r="119" spans="1:55" x14ac:dyDescent="0.25">
      <c r="A119" s="794"/>
      <c r="B119" s="488" t="s">
        <v>10</v>
      </c>
      <c r="C119" s="489">
        <v>3</v>
      </c>
      <c r="D119" s="490">
        <f t="shared" si="313"/>
        <v>7.5</v>
      </c>
      <c r="E119" s="491">
        <v>10</v>
      </c>
      <c r="F119" s="491">
        <v>400</v>
      </c>
      <c r="G119" s="491" t="s">
        <v>24</v>
      </c>
      <c r="H119" s="491">
        <v>220</v>
      </c>
      <c r="I119" s="492">
        <v>0</v>
      </c>
      <c r="J119" s="492">
        <v>3.5</v>
      </c>
      <c r="K119" s="493"/>
      <c r="L119" s="494" t="s">
        <v>24</v>
      </c>
      <c r="M119" s="495" t="s">
        <v>24</v>
      </c>
      <c r="N119" s="496">
        <f t="shared" si="335"/>
        <v>2.8571428571428572</v>
      </c>
      <c r="O119" s="497">
        <f t="shared" si="335"/>
        <v>2.8571428571428572</v>
      </c>
      <c r="P119" s="497">
        <f t="shared" si="335"/>
        <v>2.8571428571428572</v>
      </c>
      <c r="Q119" s="497">
        <f t="shared" si="335"/>
        <v>2.8571428571428572</v>
      </c>
      <c r="R119" s="497">
        <f t="shared" si="335"/>
        <v>2.8571428571428572</v>
      </c>
      <c r="S119" s="497">
        <f t="shared" si="335"/>
        <v>2.8571428571428572</v>
      </c>
      <c r="T119" s="497">
        <f t="shared" si="335"/>
        <v>2.8571428571428572</v>
      </c>
      <c r="U119" s="498">
        <f t="shared" si="335"/>
        <v>2.8571428571428572</v>
      </c>
      <c r="V119" s="498">
        <f t="shared" si="335"/>
        <v>2.8571428571428572</v>
      </c>
      <c r="W119" s="499" t="str">
        <f t="shared" si="335"/>
        <v>-</v>
      </c>
      <c r="X119" s="497" t="str">
        <f t="shared" si="335"/>
        <v>-</v>
      </c>
      <c r="Y119" s="497" t="str">
        <f t="shared" si="335"/>
        <v>-</v>
      </c>
      <c r="Z119" s="500" t="str">
        <f t="shared" si="335"/>
        <v>-</v>
      </c>
      <c r="AA119" s="497" t="str">
        <f t="shared" si="335"/>
        <v>-</v>
      </c>
      <c r="AB119" s="497" t="str">
        <f t="shared" si="335"/>
        <v>-</v>
      </c>
      <c r="AC119" s="497" t="str">
        <f t="shared" si="335"/>
        <v>-</v>
      </c>
      <c r="AD119" s="497" t="str">
        <f t="shared" si="336"/>
        <v>-</v>
      </c>
      <c r="AE119" s="497" t="str">
        <f t="shared" si="336"/>
        <v>-</v>
      </c>
      <c r="AF119" s="497" t="str">
        <f t="shared" si="336"/>
        <v>-</v>
      </c>
      <c r="AG119" s="498" t="str">
        <f t="shared" si="336"/>
        <v>-</v>
      </c>
      <c r="AH119" s="499" t="str">
        <f t="shared" si="336"/>
        <v>-</v>
      </c>
      <c r="AI119" s="496">
        <f t="shared" si="314"/>
        <v>0.38095238095238099</v>
      </c>
      <c r="AJ119" s="497">
        <f t="shared" si="315"/>
        <v>0.38095238095238099</v>
      </c>
      <c r="AK119" s="497">
        <f t="shared" si="316"/>
        <v>0.38095238095238099</v>
      </c>
      <c r="AL119" s="497">
        <f t="shared" si="317"/>
        <v>0.38095238095238099</v>
      </c>
      <c r="AM119" s="497">
        <f t="shared" si="318"/>
        <v>0.38095238095238099</v>
      </c>
      <c r="AN119" s="497">
        <f t="shared" si="319"/>
        <v>0.38095238095238099</v>
      </c>
      <c r="AO119" s="497">
        <f t="shared" si="320"/>
        <v>0.38095238095238099</v>
      </c>
      <c r="AP119" s="498">
        <f t="shared" si="321"/>
        <v>0.38095238095238099</v>
      </c>
      <c r="AQ119" s="498">
        <f t="shared" si="322"/>
        <v>0.38095238095238099</v>
      </c>
      <c r="AR119" s="498" t="str">
        <f t="shared" si="323"/>
        <v>-</v>
      </c>
      <c r="AS119" s="497" t="str">
        <f t="shared" si="324"/>
        <v>-</v>
      </c>
      <c r="AT119" s="497" t="str">
        <f t="shared" si="325"/>
        <v>-</v>
      </c>
      <c r="AU119" s="497" t="str">
        <f t="shared" si="326"/>
        <v>-</v>
      </c>
      <c r="AV119" s="497" t="str">
        <f t="shared" si="327"/>
        <v>-</v>
      </c>
      <c r="AW119" s="497" t="str">
        <f t="shared" si="328"/>
        <v>-</v>
      </c>
      <c r="AX119" s="497" t="str">
        <f t="shared" si="329"/>
        <v>-</v>
      </c>
      <c r="AY119" s="498" t="str">
        <f t="shared" si="330"/>
        <v>-</v>
      </c>
      <c r="AZ119" s="498" t="str">
        <f t="shared" si="331"/>
        <v>-</v>
      </c>
      <c r="BA119" s="498" t="str">
        <f t="shared" si="332"/>
        <v>-</v>
      </c>
      <c r="BB119" s="498" t="str">
        <f t="shared" si="333"/>
        <v>-</v>
      </c>
      <c r="BC119" s="501" t="str">
        <f t="shared" si="334"/>
        <v>-</v>
      </c>
    </row>
    <row r="120" spans="1:55" x14ac:dyDescent="0.25">
      <c r="A120" s="794"/>
      <c r="B120" s="488" t="s">
        <v>11</v>
      </c>
      <c r="C120" s="489">
        <v>4</v>
      </c>
      <c r="D120" s="490">
        <f t="shared" si="313"/>
        <v>7.5</v>
      </c>
      <c r="E120" s="491">
        <v>12</v>
      </c>
      <c r="F120" s="491">
        <v>450</v>
      </c>
      <c r="G120" s="491" t="s">
        <v>24</v>
      </c>
      <c r="H120" s="491">
        <v>240</v>
      </c>
      <c r="I120" s="492">
        <v>0</v>
      </c>
      <c r="J120" s="492">
        <v>3.7</v>
      </c>
      <c r="K120" s="493"/>
      <c r="L120" s="494" t="s">
        <v>24</v>
      </c>
      <c r="M120" s="495" t="s">
        <v>24</v>
      </c>
      <c r="N120" s="496">
        <f t="shared" si="335"/>
        <v>3.243243243243243</v>
      </c>
      <c r="O120" s="497">
        <f t="shared" si="335"/>
        <v>3.243243243243243</v>
      </c>
      <c r="P120" s="497">
        <f t="shared" si="335"/>
        <v>3.243243243243243</v>
      </c>
      <c r="Q120" s="497">
        <f t="shared" si="335"/>
        <v>3.243243243243243</v>
      </c>
      <c r="R120" s="497">
        <f t="shared" si="335"/>
        <v>3.243243243243243</v>
      </c>
      <c r="S120" s="497">
        <f t="shared" si="335"/>
        <v>3.243243243243243</v>
      </c>
      <c r="T120" s="497">
        <f t="shared" si="335"/>
        <v>3.243243243243243</v>
      </c>
      <c r="U120" s="498">
        <f t="shared" si="335"/>
        <v>3.243243243243243</v>
      </c>
      <c r="V120" s="498">
        <f t="shared" si="335"/>
        <v>3.243243243243243</v>
      </c>
      <c r="W120" s="499">
        <f t="shared" si="335"/>
        <v>3.243243243243243</v>
      </c>
      <c r="X120" s="497" t="str">
        <f t="shared" si="335"/>
        <v>-</v>
      </c>
      <c r="Y120" s="497" t="str">
        <f t="shared" si="335"/>
        <v>-</v>
      </c>
      <c r="Z120" s="500" t="str">
        <f t="shared" si="335"/>
        <v>-</v>
      </c>
      <c r="AA120" s="497" t="str">
        <f t="shared" si="335"/>
        <v>-</v>
      </c>
      <c r="AB120" s="497" t="str">
        <f t="shared" si="335"/>
        <v>-</v>
      </c>
      <c r="AC120" s="497" t="str">
        <f t="shared" si="335"/>
        <v>-</v>
      </c>
      <c r="AD120" s="497" t="str">
        <f t="shared" si="336"/>
        <v>-</v>
      </c>
      <c r="AE120" s="497" t="str">
        <f t="shared" si="336"/>
        <v>-</v>
      </c>
      <c r="AF120" s="497" t="str">
        <f t="shared" si="336"/>
        <v>-</v>
      </c>
      <c r="AG120" s="498" t="str">
        <f t="shared" si="336"/>
        <v>-</v>
      </c>
      <c r="AH120" s="499" t="str">
        <f t="shared" si="336"/>
        <v>-</v>
      </c>
      <c r="AI120" s="496">
        <f t="shared" si="314"/>
        <v>0.4324324324324324</v>
      </c>
      <c r="AJ120" s="497">
        <f t="shared" si="315"/>
        <v>0.4324324324324324</v>
      </c>
      <c r="AK120" s="497">
        <f t="shared" si="316"/>
        <v>0.4324324324324324</v>
      </c>
      <c r="AL120" s="497">
        <f t="shared" si="317"/>
        <v>0.4324324324324324</v>
      </c>
      <c r="AM120" s="497">
        <f t="shared" si="318"/>
        <v>0.4324324324324324</v>
      </c>
      <c r="AN120" s="497">
        <f t="shared" si="319"/>
        <v>0.4324324324324324</v>
      </c>
      <c r="AO120" s="497">
        <f t="shared" si="320"/>
        <v>0.4324324324324324</v>
      </c>
      <c r="AP120" s="498">
        <f t="shared" si="321"/>
        <v>0.4324324324324324</v>
      </c>
      <c r="AQ120" s="498">
        <f t="shared" si="322"/>
        <v>0.4324324324324324</v>
      </c>
      <c r="AR120" s="498">
        <f t="shared" si="323"/>
        <v>0.4324324324324324</v>
      </c>
      <c r="AS120" s="497" t="str">
        <f t="shared" si="324"/>
        <v>-</v>
      </c>
      <c r="AT120" s="497" t="str">
        <f t="shared" si="325"/>
        <v>-</v>
      </c>
      <c r="AU120" s="497" t="str">
        <f t="shared" si="326"/>
        <v>-</v>
      </c>
      <c r="AV120" s="497" t="str">
        <f t="shared" si="327"/>
        <v>-</v>
      </c>
      <c r="AW120" s="497" t="str">
        <f t="shared" si="328"/>
        <v>-</v>
      </c>
      <c r="AX120" s="497" t="str">
        <f t="shared" si="329"/>
        <v>-</v>
      </c>
      <c r="AY120" s="498" t="str">
        <f t="shared" si="330"/>
        <v>-</v>
      </c>
      <c r="AZ120" s="498" t="str">
        <f t="shared" si="331"/>
        <v>-</v>
      </c>
      <c r="BA120" s="498" t="str">
        <f t="shared" si="332"/>
        <v>-</v>
      </c>
      <c r="BB120" s="498" t="str">
        <f t="shared" si="333"/>
        <v>-</v>
      </c>
      <c r="BC120" s="501" t="str">
        <f t="shared" si="334"/>
        <v>-</v>
      </c>
    </row>
    <row r="121" spans="1:55" x14ac:dyDescent="0.25">
      <c r="A121" s="794"/>
      <c r="B121" s="488" t="s">
        <v>23</v>
      </c>
      <c r="C121" s="489">
        <v>5</v>
      </c>
      <c r="D121" s="490">
        <f t="shared" si="313"/>
        <v>7.5</v>
      </c>
      <c r="E121" s="491">
        <v>19</v>
      </c>
      <c r="F121" s="491">
        <v>500</v>
      </c>
      <c r="G121" s="491" t="s">
        <v>24</v>
      </c>
      <c r="H121" s="491">
        <v>280</v>
      </c>
      <c r="I121" s="492">
        <v>0</v>
      </c>
      <c r="J121" s="492">
        <v>4.2</v>
      </c>
      <c r="K121" s="493"/>
      <c r="L121" s="494" t="s">
        <v>24</v>
      </c>
      <c r="M121" s="495" t="s">
        <v>24</v>
      </c>
      <c r="N121" s="496">
        <f t="shared" si="335"/>
        <v>4.5238095238095237</v>
      </c>
      <c r="O121" s="497">
        <f t="shared" si="335"/>
        <v>4.5238095238095237</v>
      </c>
      <c r="P121" s="497">
        <f t="shared" si="335"/>
        <v>4.5238095238095237</v>
      </c>
      <c r="Q121" s="497">
        <f t="shared" si="335"/>
        <v>4.5238095238095237</v>
      </c>
      <c r="R121" s="497">
        <f t="shared" si="335"/>
        <v>4.5238095238095237</v>
      </c>
      <c r="S121" s="497">
        <f t="shared" si="335"/>
        <v>4.5238095238095237</v>
      </c>
      <c r="T121" s="497">
        <f t="shared" si="335"/>
        <v>4.5238095238095237</v>
      </c>
      <c r="U121" s="498">
        <f t="shared" si="335"/>
        <v>4.5238095238095237</v>
      </c>
      <c r="V121" s="498">
        <f t="shared" si="335"/>
        <v>4.5238095238095237</v>
      </c>
      <c r="W121" s="499">
        <f t="shared" si="335"/>
        <v>4.5238095238095237</v>
      </c>
      <c r="X121" s="497">
        <f t="shared" si="335"/>
        <v>4.5238095238095237</v>
      </c>
      <c r="Y121" s="497" t="str">
        <f t="shared" si="335"/>
        <v>-</v>
      </c>
      <c r="Z121" s="500" t="str">
        <f t="shared" si="335"/>
        <v>-</v>
      </c>
      <c r="AA121" s="497" t="str">
        <f t="shared" si="335"/>
        <v>-</v>
      </c>
      <c r="AB121" s="497" t="str">
        <f t="shared" si="335"/>
        <v>-</v>
      </c>
      <c r="AC121" s="497" t="str">
        <f t="shared" si="335"/>
        <v>-</v>
      </c>
      <c r="AD121" s="497" t="str">
        <f t="shared" si="336"/>
        <v>-</v>
      </c>
      <c r="AE121" s="497" t="str">
        <f t="shared" si="336"/>
        <v>-</v>
      </c>
      <c r="AF121" s="497" t="str">
        <f t="shared" si="336"/>
        <v>-</v>
      </c>
      <c r="AG121" s="498" t="str">
        <f t="shared" si="336"/>
        <v>-</v>
      </c>
      <c r="AH121" s="499" t="str">
        <f t="shared" si="336"/>
        <v>-</v>
      </c>
      <c r="AI121" s="496">
        <f t="shared" si="314"/>
        <v>0.60317460317460314</v>
      </c>
      <c r="AJ121" s="497">
        <f t="shared" si="315"/>
        <v>0.60317460317460314</v>
      </c>
      <c r="AK121" s="497">
        <f t="shared" si="316"/>
        <v>0.60317460317460314</v>
      </c>
      <c r="AL121" s="497">
        <f t="shared" si="317"/>
        <v>0.60317460317460314</v>
      </c>
      <c r="AM121" s="497">
        <f t="shared" si="318"/>
        <v>0.60317460317460314</v>
      </c>
      <c r="AN121" s="497">
        <f t="shared" si="319"/>
        <v>0.60317460317460314</v>
      </c>
      <c r="AO121" s="497">
        <f t="shared" si="320"/>
        <v>0.60317460317460314</v>
      </c>
      <c r="AP121" s="498">
        <f t="shared" si="321"/>
        <v>0.60317460317460314</v>
      </c>
      <c r="AQ121" s="498">
        <f t="shared" si="322"/>
        <v>0.60317460317460314</v>
      </c>
      <c r="AR121" s="498">
        <f t="shared" si="323"/>
        <v>0.60317460317460314</v>
      </c>
      <c r="AS121" s="497">
        <f t="shared" si="324"/>
        <v>0.60317460317460314</v>
      </c>
      <c r="AT121" s="497" t="str">
        <f t="shared" si="325"/>
        <v>-</v>
      </c>
      <c r="AU121" s="497" t="str">
        <f t="shared" si="326"/>
        <v>-</v>
      </c>
      <c r="AV121" s="497" t="str">
        <f t="shared" si="327"/>
        <v>-</v>
      </c>
      <c r="AW121" s="497" t="str">
        <f t="shared" si="328"/>
        <v>-</v>
      </c>
      <c r="AX121" s="497" t="str">
        <f t="shared" si="329"/>
        <v>-</v>
      </c>
      <c r="AY121" s="498" t="str">
        <f t="shared" si="330"/>
        <v>-</v>
      </c>
      <c r="AZ121" s="498" t="str">
        <f t="shared" si="331"/>
        <v>-</v>
      </c>
      <c r="BA121" s="498" t="str">
        <f t="shared" si="332"/>
        <v>-</v>
      </c>
      <c r="BB121" s="498" t="str">
        <f t="shared" si="333"/>
        <v>-</v>
      </c>
      <c r="BC121" s="501" t="str">
        <f t="shared" si="334"/>
        <v>-</v>
      </c>
    </row>
    <row r="122" spans="1:55" ht="15.75" thickBot="1" x14ac:dyDescent="0.3">
      <c r="A122" s="794"/>
      <c r="B122" s="502" t="s">
        <v>212</v>
      </c>
      <c r="C122" s="503">
        <v>6</v>
      </c>
      <c r="D122" s="504">
        <f t="shared" si="313"/>
        <v>7.5</v>
      </c>
      <c r="E122" s="505">
        <v>22</v>
      </c>
      <c r="F122" s="505">
        <v>550</v>
      </c>
      <c r="G122" s="505" t="s">
        <v>24</v>
      </c>
      <c r="H122" s="505">
        <v>300</v>
      </c>
      <c r="I122" s="506">
        <v>0</v>
      </c>
      <c r="J122" s="506">
        <v>4.2</v>
      </c>
      <c r="K122" s="507"/>
      <c r="L122" s="508" t="s">
        <v>24</v>
      </c>
      <c r="M122" s="509" t="s">
        <v>24</v>
      </c>
      <c r="N122" s="510">
        <f t="shared" si="335"/>
        <v>5.2380952380952381</v>
      </c>
      <c r="O122" s="511">
        <f t="shared" si="335"/>
        <v>5.2380952380952381</v>
      </c>
      <c r="P122" s="511">
        <f t="shared" si="335"/>
        <v>5.2380952380952381</v>
      </c>
      <c r="Q122" s="511">
        <f t="shared" si="335"/>
        <v>5.2380952380952381</v>
      </c>
      <c r="R122" s="511">
        <f t="shared" si="335"/>
        <v>5.2380952380952381</v>
      </c>
      <c r="S122" s="511">
        <f t="shared" si="335"/>
        <v>5.2380952380952381</v>
      </c>
      <c r="T122" s="511">
        <f t="shared" si="335"/>
        <v>5.2380952380952381</v>
      </c>
      <c r="U122" s="512">
        <f t="shared" si="335"/>
        <v>5.2380952380952381</v>
      </c>
      <c r="V122" s="512">
        <f t="shared" si="335"/>
        <v>5.2380952380952381</v>
      </c>
      <c r="W122" s="513">
        <f t="shared" si="335"/>
        <v>5.2380952380952381</v>
      </c>
      <c r="X122" s="511">
        <f t="shared" si="335"/>
        <v>5.2380952380952381</v>
      </c>
      <c r="Y122" s="511">
        <f t="shared" si="335"/>
        <v>5.2380952380952381</v>
      </c>
      <c r="Z122" s="514" t="str">
        <f t="shared" si="335"/>
        <v>-</v>
      </c>
      <c r="AA122" s="511" t="str">
        <f t="shared" si="335"/>
        <v>-</v>
      </c>
      <c r="AB122" s="511" t="str">
        <f t="shared" si="335"/>
        <v>-</v>
      </c>
      <c r="AC122" s="511" t="str">
        <f t="shared" si="335"/>
        <v>-</v>
      </c>
      <c r="AD122" s="511" t="str">
        <f t="shared" si="336"/>
        <v>-</v>
      </c>
      <c r="AE122" s="511" t="str">
        <f t="shared" si="336"/>
        <v>-</v>
      </c>
      <c r="AF122" s="511" t="str">
        <f t="shared" si="336"/>
        <v>-</v>
      </c>
      <c r="AG122" s="512" t="str">
        <f t="shared" si="336"/>
        <v>-</v>
      </c>
      <c r="AH122" s="513" t="str">
        <f t="shared" si="336"/>
        <v>-</v>
      </c>
      <c r="AI122" s="510">
        <f t="shared" si="314"/>
        <v>0.69841269841269837</v>
      </c>
      <c r="AJ122" s="511">
        <f t="shared" si="315"/>
        <v>0.69841269841269837</v>
      </c>
      <c r="AK122" s="511">
        <f t="shared" si="316"/>
        <v>0.69841269841269837</v>
      </c>
      <c r="AL122" s="511">
        <f t="shared" si="317"/>
        <v>0.69841269841269837</v>
      </c>
      <c r="AM122" s="511">
        <f t="shared" si="318"/>
        <v>0.69841269841269837</v>
      </c>
      <c r="AN122" s="511">
        <f t="shared" si="319"/>
        <v>0.69841269841269837</v>
      </c>
      <c r="AO122" s="511">
        <f t="shared" si="320"/>
        <v>0.69841269841269837</v>
      </c>
      <c r="AP122" s="512">
        <f t="shared" si="321"/>
        <v>0.69841269841269837</v>
      </c>
      <c r="AQ122" s="512">
        <f t="shared" si="322"/>
        <v>0.69841269841269837</v>
      </c>
      <c r="AR122" s="512">
        <f t="shared" si="323"/>
        <v>0.69841269841269837</v>
      </c>
      <c r="AS122" s="511">
        <f t="shared" si="324"/>
        <v>0.69841269841269837</v>
      </c>
      <c r="AT122" s="511">
        <f t="shared" si="325"/>
        <v>0.69841269841269837</v>
      </c>
      <c r="AU122" s="511" t="str">
        <f t="shared" si="326"/>
        <v>-</v>
      </c>
      <c r="AV122" s="511" t="str">
        <f t="shared" si="327"/>
        <v>-</v>
      </c>
      <c r="AW122" s="511" t="str">
        <f t="shared" si="328"/>
        <v>-</v>
      </c>
      <c r="AX122" s="511" t="str">
        <f t="shared" si="329"/>
        <v>-</v>
      </c>
      <c r="AY122" s="512" t="str">
        <f t="shared" si="330"/>
        <v>-</v>
      </c>
      <c r="AZ122" s="512" t="str">
        <f t="shared" si="331"/>
        <v>-</v>
      </c>
      <c r="BA122" s="512" t="str">
        <f t="shared" si="332"/>
        <v>-</v>
      </c>
      <c r="BB122" s="512" t="str">
        <f t="shared" si="333"/>
        <v>-</v>
      </c>
      <c r="BC122" s="515" t="str">
        <f t="shared" si="334"/>
        <v>-</v>
      </c>
    </row>
    <row r="123" spans="1:55" ht="15.75" thickBot="1" x14ac:dyDescent="0.3">
      <c r="A123" s="516" t="s">
        <v>219</v>
      </c>
      <c r="B123" s="517" t="s">
        <v>213</v>
      </c>
      <c r="C123" s="518">
        <v>8</v>
      </c>
      <c r="D123" s="519">
        <f t="shared" si="313"/>
        <v>7.5</v>
      </c>
      <c r="E123" s="520">
        <v>30</v>
      </c>
      <c r="F123" s="520">
        <v>650</v>
      </c>
      <c r="G123" s="520" t="s">
        <v>24</v>
      </c>
      <c r="H123" s="520">
        <v>340</v>
      </c>
      <c r="I123" s="521">
        <v>0</v>
      </c>
      <c r="J123" s="521">
        <v>4</v>
      </c>
      <c r="K123" s="522"/>
      <c r="L123" s="523" t="s">
        <v>24</v>
      </c>
      <c r="M123" s="524" t="s">
        <v>24</v>
      </c>
      <c r="N123" s="525">
        <f t="shared" si="335"/>
        <v>7.5</v>
      </c>
      <c r="O123" s="526">
        <f t="shared" si="335"/>
        <v>7.5</v>
      </c>
      <c r="P123" s="526">
        <f t="shared" si="335"/>
        <v>7.5</v>
      </c>
      <c r="Q123" s="526">
        <f t="shared" si="335"/>
        <v>7.5</v>
      </c>
      <c r="R123" s="526">
        <f t="shared" si="335"/>
        <v>7.5</v>
      </c>
      <c r="S123" s="526">
        <f t="shared" si="335"/>
        <v>7.5</v>
      </c>
      <c r="T123" s="526">
        <f t="shared" si="335"/>
        <v>7.5</v>
      </c>
      <c r="U123" s="527">
        <f t="shared" si="335"/>
        <v>7.5</v>
      </c>
      <c r="V123" s="527">
        <f t="shared" si="335"/>
        <v>7.5</v>
      </c>
      <c r="W123" s="528">
        <f t="shared" si="335"/>
        <v>7.5</v>
      </c>
      <c r="X123" s="526">
        <f t="shared" si="335"/>
        <v>7.5</v>
      </c>
      <c r="Y123" s="526">
        <f t="shared" si="335"/>
        <v>7.5</v>
      </c>
      <c r="Z123" s="529">
        <f t="shared" si="335"/>
        <v>7.5</v>
      </c>
      <c r="AA123" s="526">
        <f t="shared" si="335"/>
        <v>7.5</v>
      </c>
      <c r="AB123" s="526" t="str">
        <f t="shared" si="335"/>
        <v>-</v>
      </c>
      <c r="AC123" s="526" t="str">
        <f t="shared" si="335"/>
        <v>-</v>
      </c>
      <c r="AD123" s="526" t="str">
        <f t="shared" si="336"/>
        <v>-</v>
      </c>
      <c r="AE123" s="526" t="str">
        <f t="shared" si="336"/>
        <v>-</v>
      </c>
      <c r="AF123" s="526" t="str">
        <f t="shared" si="336"/>
        <v>-</v>
      </c>
      <c r="AG123" s="527" t="str">
        <f t="shared" si="336"/>
        <v>-</v>
      </c>
      <c r="AH123" s="528" t="str">
        <f t="shared" si="336"/>
        <v>-</v>
      </c>
      <c r="AI123" s="525">
        <f t="shared" si="314"/>
        <v>1</v>
      </c>
      <c r="AJ123" s="526">
        <f t="shared" si="315"/>
        <v>1</v>
      </c>
      <c r="AK123" s="526">
        <f t="shared" si="316"/>
        <v>1</v>
      </c>
      <c r="AL123" s="526">
        <f t="shared" si="317"/>
        <v>1</v>
      </c>
      <c r="AM123" s="526">
        <f t="shared" si="318"/>
        <v>1</v>
      </c>
      <c r="AN123" s="526">
        <f t="shared" si="319"/>
        <v>1</v>
      </c>
      <c r="AO123" s="526">
        <f t="shared" si="320"/>
        <v>1</v>
      </c>
      <c r="AP123" s="527">
        <f t="shared" si="321"/>
        <v>1</v>
      </c>
      <c r="AQ123" s="527">
        <f t="shared" si="322"/>
        <v>1</v>
      </c>
      <c r="AR123" s="527">
        <f t="shared" si="323"/>
        <v>1</v>
      </c>
      <c r="AS123" s="526">
        <f t="shared" si="324"/>
        <v>1</v>
      </c>
      <c r="AT123" s="526">
        <f t="shared" si="325"/>
        <v>1</v>
      </c>
      <c r="AU123" s="526">
        <f t="shared" si="326"/>
        <v>1</v>
      </c>
      <c r="AV123" s="526">
        <f t="shared" si="327"/>
        <v>1</v>
      </c>
      <c r="AW123" s="526" t="str">
        <f t="shared" si="328"/>
        <v>-</v>
      </c>
      <c r="AX123" s="526" t="str">
        <f t="shared" si="329"/>
        <v>-</v>
      </c>
      <c r="AY123" s="527" t="str">
        <f t="shared" si="330"/>
        <v>-</v>
      </c>
      <c r="AZ123" s="527" t="str">
        <f t="shared" si="331"/>
        <v>-</v>
      </c>
      <c r="BA123" s="527" t="str">
        <f t="shared" si="332"/>
        <v>-</v>
      </c>
      <c r="BB123" s="527" t="str">
        <f t="shared" si="333"/>
        <v>-</v>
      </c>
      <c r="BC123" s="530" t="str">
        <f t="shared" si="334"/>
        <v>-</v>
      </c>
    </row>
  </sheetData>
  <mergeCells count="52">
    <mergeCell ref="A93:A96"/>
    <mergeCell ref="K1:K2"/>
    <mergeCell ref="A39:A41"/>
    <mergeCell ref="A81:A82"/>
    <mergeCell ref="A86:A87"/>
    <mergeCell ref="A91:A92"/>
    <mergeCell ref="A83:A85"/>
    <mergeCell ref="A88:A90"/>
    <mergeCell ref="A75:A77"/>
    <mergeCell ref="A78:A80"/>
    <mergeCell ref="A70:A72"/>
    <mergeCell ref="A58:A59"/>
    <mergeCell ref="H1:H2"/>
    <mergeCell ref="A63:A65"/>
    <mergeCell ref="A66:A68"/>
    <mergeCell ref="A37:A38"/>
    <mergeCell ref="A54:A56"/>
    <mergeCell ref="A28:A30"/>
    <mergeCell ref="A45:A47"/>
    <mergeCell ref="A43:A44"/>
    <mergeCell ref="A48:A50"/>
    <mergeCell ref="A18:A20"/>
    <mergeCell ref="A60:A62"/>
    <mergeCell ref="A21:A24"/>
    <mergeCell ref="D1:D2"/>
    <mergeCell ref="E1:E2"/>
    <mergeCell ref="A1:A2"/>
    <mergeCell ref="B1:B2"/>
    <mergeCell ref="A5:A7"/>
    <mergeCell ref="A3:A4"/>
    <mergeCell ref="C1:C2"/>
    <mergeCell ref="A25:A27"/>
    <mergeCell ref="A31:A33"/>
    <mergeCell ref="A8:A11"/>
    <mergeCell ref="A12:A14"/>
    <mergeCell ref="A15:A17"/>
    <mergeCell ref="A51:A53"/>
    <mergeCell ref="BD1:BO1"/>
    <mergeCell ref="BP1:CA1"/>
    <mergeCell ref="J1:J2"/>
    <mergeCell ref="F1:F2"/>
    <mergeCell ref="G1:G2"/>
    <mergeCell ref="M1:M2"/>
    <mergeCell ref="AI1:BC1"/>
    <mergeCell ref="L1:L2"/>
    <mergeCell ref="N1:AH1"/>
    <mergeCell ref="I1:I2"/>
    <mergeCell ref="A106:A110"/>
    <mergeCell ref="A112:A116"/>
    <mergeCell ref="A118:A122"/>
    <mergeCell ref="A100:A102"/>
    <mergeCell ref="A103:A10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8:I30"/>
  <sheetViews>
    <sheetView tabSelected="1" zoomScaleNormal="100" workbookViewId="0">
      <selection activeCell="E38" sqref="E38"/>
    </sheetView>
  </sheetViews>
  <sheetFormatPr defaultRowHeight="15" x14ac:dyDescent="0.25"/>
  <cols>
    <col min="2" max="2" width="13.140625" customWidth="1"/>
    <col min="3" max="4" width="11.85546875" customWidth="1"/>
    <col min="5" max="5" width="13.42578125" customWidth="1"/>
    <col min="6" max="6" width="11.140625" customWidth="1"/>
    <col min="7" max="7" width="15.7109375" customWidth="1"/>
    <col min="8" max="8" width="16.42578125" customWidth="1"/>
    <col min="9" max="9" width="11.28515625" customWidth="1"/>
  </cols>
  <sheetData>
    <row r="8" spans="1:9" x14ac:dyDescent="0.25">
      <c r="D8">
        <v>1.66666</v>
      </c>
    </row>
    <row r="9" spans="1:9" x14ac:dyDescent="0.25">
      <c r="A9" s="762">
        <v>120</v>
      </c>
      <c r="B9" s="763" t="s">
        <v>222</v>
      </c>
      <c r="C9" s="873" t="s">
        <v>223</v>
      </c>
      <c r="D9" s="874" t="s">
        <v>229</v>
      </c>
      <c r="E9" s="764" t="s">
        <v>226</v>
      </c>
      <c r="F9" s="769" t="s">
        <v>225</v>
      </c>
      <c r="G9" s="767" t="s">
        <v>227</v>
      </c>
      <c r="H9" s="765" t="s">
        <v>228</v>
      </c>
      <c r="I9" s="770" t="s">
        <v>224</v>
      </c>
    </row>
    <row r="10" spans="1:9" x14ac:dyDescent="0.25">
      <c r="A10">
        <v>0</v>
      </c>
      <c r="B10" s="763">
        <f>basis*2^($A10-1)</f>
        <v>60</v>
      </c>
      <c r="C10" s="873">
        <f>basis*2^($A10-1)</f>
        <v>60</v>
      </c>
      <c r="D10" s="874">
        <f>basis*2^($A10-1)</f>
        <v>60</v>
      </c>
      <c r="E10" s="764">
        <f>basis*2^($A10-1)</f>
        <v>60</v>
      </c>
      <c r="F10" s="769">
        <f t="shared" ref="F10:F30" si="0">(1+A10)*basis</f>
        <v>120</v>
      </c>
      <c r="G10" s="767">
        <f>B10</f>
        <v>60</v>
      </c>
      <c r="H10" s="765">
        <f>B10</f>
        <v>60</v>
      </c>
      <c r="I10" s="770">
        <f>B10</f>
        <v>60</v>
      </c>
    </row>
    <row r="11" spans="1:9" x14ac:dyDescent="0.25">
      <c r="A11">
        <v>1</v>
      </c>
      <c r="B11" s="763">
        <f t="shared" ref="B9:B30" si="1">basis*2^(A11-1)</f>
        <v>120</v>
      </c>
      <c r="C11" s="873">
        <f>basis*ROUND($A11^1.5, 1)</f>
        <v>120</v>
      </c>
      <c r="D11" s="874">
        <f>basis*ROUND($A11^D$8, 1)</f>
        <v>120</v>
      </c>
      <c r="E11" s="764">
        <f t="shared" ref="E10:E30" si="2">basis*(A11*1.5)</f>
        <v>180</v>
      </c>
      <c r="F11" s="769">
        <f t="shared" si="0"/>
        <v>240</v>
      </c>
      <c r="G11" s="767">
        <f>B11</f>
        <v>120</v>
      </c>
      <c r="H11" s="765">
        <f>B11</f>
        <v>120</v>
      </c>
      <c r="I11" s="771">
        <f t="shared" ref="I11:I30" si="3">basis*A11</f>
        <v>120</v>
      </c>
    </row>
    <row r="12" spans="1:9" x14ac:dyDescent="0.25">
      <c r="A12">
        <v>2</v>
      </c>
      <c r="B12" s="763">
        <f t="shared" si="1"/>
        <v>240</v>
      </c>
      <c r="C12" s="873">
        <f>basis*ROUND($A12^1.5, 1)</f>
        <v>336</v>
      </c>
      <c r="D12" s="874">
        <f>basis*ROUND($A12^D$8, 1)</f>
        <v>384</v>
      </c>
      <c r="E12" s="764">
        <f t="shared" si="2"/>
        <v>360</v>
      </c>
      <c r="F12" s="769">
        <f t="shared" si="0"/>
        <v>360</v>
      </c>
      <c r="G12" s="768">
        <f t="shared" ref="G12:G30" si="4">(A12-1)*2*basis</f>
        <v>240</v>
      </c>
      <c r="H12" s="765">
        <f>B12</f>
        <v>240</v>
      </c>
      <c r="I12" s="771">
        <f t="shared" si="3"/>
        <v>240</v>
      </c>
    </row>
    <row r="13" spans="1:9" x14ac:dyDescent="0.25">
      <c r="A13">
        <v>3</v>
      </c>
      <c r="B13" s="763">
        <f t="shared" si="1"/>
        <v>480</v>
      </c>
      <c r="C13" s="873">
        <f>basis*ROUND($A13^1.5, 1)</f>
        <v>624</v>
      </c>
      <c r="D13" s="874">
        <f>basis*ROUND($A13^D$8, 1)</f>
        <v>744</v>
      </c>
      <c r="E13" s="764">
        <f t="shared" si="2"/>
        <v>540</v>
      </c>
      <c r="F13" s="769">
        <f t="shared" si="0"/>
        <v>480</v>
      </c>
      <c r="G13" s="768">
        <f t="shared" si="4"/>
        <v>480</v>
      </c>
      <c r="H13" s="766">
        <f t="shared" ref="H13:H30" si="5">(A13-2)*3*basis</f>
        <v>360</v>
      </c>
      <c r="I13" s="771">
        <f t="shared" si="3"/>
        <v>360</v>
      </c>
    </row>
    <row r="14" spans="1:9" x14ac:dyDescent="0.25">
      <c r="A14">
        <v>4</v>
      </c>
      <c r="B14" s="763">
        <f t="shared" si="1"/>
        <v>960</v>
      </c>
      <c r="C14" s="873">
        <f>basis*ROUND($A14^1.5, 1)</f>
        <v>960</v>
      </c>
      <c r="D14" s="874">
        <f>basis*ROUND($A14^D$8, 1)</f>
        <v>1212</v>
      </c>
      <c r="E14" s="764">
        <f t="shared" si="2"/>
        <v>720</v>
      </c>
      <c r="F14" s="769">
        <f t="shared" si="0"/>
        <v>600</v>
      </c>
      <c r="G14" s="768">
        <f t="shared" si="4"/>
        <v>720</v>
      </c>
      <c r="H14" s="766">
        <f t="shared" si="5"/>
        <v>720</v>
      </c>
      <c r="I14" s="771">
        <f t="shared" si="3"/>
        <v>480</v>
      </c>
    </row>
    <row r="15" spans="1:9" x14ac:dyDescent="0.25">
      <c r="A15">
        <v>5</v>
      </c>
      <c r="B15" s="763">
        <f t="shared" si="1"/>
        <v>1920</v>
      </c>
      <c r="C15" s="873">
        <f>basis*ROUND($A15^1.5, 1)</f>
        <v>1344</v>
      </c>
      <c r="D15" s="874">
        <f>basis*ROUND($A15^D$8, 1)</f>
        <v>1752</v>
      </c>
      <c r="E15" s="764">
        <f t="shared" si="2"/>
        <v>900</v>
      </c>
      <c r="F15" s="769">
        <f t="shared" si="0"/>
        <v>720</v>
      </c>
      <c r="G15" s="768">
        <f t="shared" si="4"/>
        <v>960</v>
      </c>
      <c r="H15" s="766">
        <f t="shared" si="5"/>
        <v>1080</v>
      </c>
      <c r="I15" s="771">
        <f t="shared" si="3"/>
        <v>600</v>
      </c>
    </row>
    <row r="16" spans="1:9" x14ac:dyDescent="0.25">
      <c r="A16">
        <v>6</v>
      </c>
      <c r="B16" s="763">
        <f t="shared" si="1"/>
        <v>3840</v>
      </c>
      <c r="C16" s="873">
        <f>basis*ROUND($A16^1.5, 1)</f>
        <v>1764</v>
      </c>
      <c r="D16" s="874">
        <f>basis*ROUND($A16^D$8, 1)</f>
        <v>2376</v>
      </c>
      <c r="E16" s="764">
        <f t="shared" si="2"/>
        <v>1080</v>
      </c>
      <c r="F16" s="769">
        <f t="shared" si="0"/>
        <v>840</v>
      </c>
      <c r="G16" s="768">
        <f t="shared" si="4"/>
        <v>1200</v>
      </c>
      <c r="H16" s="766">
        <f t="shared" si="5"/>
        <v>1440</v>
      </c>
      <c r="I16" s="771">
        <f t="shared" si="3"/>
        <v>720</v>
      </c>
    </row>
    <row r="17" spans="1:9" x14ac:dyDescent="0.25">
      <c r="A17">
        <v>7</v>
      </c>
      <c r="B17" s="763">
        <f t="shared" si="1"/>
        <v>7680</v>
      </c>
      <c r="C17" s="873">
        <f>basis*ROUND($A17^1.5, 1)</f>
        <v>2220</v>
      </c>
      <c r="D17" s="874">
        <f>basis*ROUND($A17^D$8, 1)</f>
        <v>3072</v>
      </c>
      <c r="E17" s="764">
        <f t="shared" si="2"/>
        <v>1260</v>
      </c>
      <c r="F17" s="769">
        <f t="shared" si="0"/>
        <v>960</v>
      </c>
      <c r="G17" s="768">
        <f t="shared" si="4"/>
        <v>1440</v>
      </c>
      <c r="H17" s="766">
        <f t="shared" si="5"/>
        <v>1800</v>
      </c>
      <c r="I17" s="771">
        <f t="shared" si="3"/>
        <v>840</v>
      </c>
    </row>
    <row r="18" spans="1:9" x14ac:dyDescent="0.25">
      <c r="A18">
        <v>8</v>
      </c>
      <c r="B18" s="763">
        <f t="shared" si="1"/>
        <v>15360</v>
      </c>
      <c r="C18" s="873">
        <f>basis*ROUND($A18^1.5, 1)</f>
        <v>2712</v>
      </c>
      <c r="D18" s="874">
        <f>basis*ROUND($A18^D$8, 1)</f>
        <v>3840</v>
      </c>
      <c r="E18" s="764">
        <f t="shared" si="2"/>
        <v>1440</v>
      </c>
      <c r="F18" s="769">
        <f t="shared" si="0"/>
        <v>1080</v>
      </c>
      <c r="G18" s="768">
        <f t="shared" si="4"/>
        <v>1680</v>
      </c>
      <c r="H18" s="766">
        <f t="shared" si="5"/>
        <v>2160</v>
      </c>
      <c r="I18" s="771">
        <f t="shared" si="3"/>
        <v>960</v>
      </c>
    </row>
    <row r="19" spans="1:9" x14ac:dyDescent="0.25">
      <c r="A19">
        <v>9</v>
      </c>
      <c r="B19" s="763">
        <f t="shared" si="1"/>
        <v>30720</v>
      </c>
      <c r="C19" s="873">
        <f>basis*ROUND($A19^1.5, 1)</f>
        <v>3240</v>
      </c>
      <c r="D19" s="874">
        <f>basis*ROUND($A19^D$8, 1)</f>
        <v>4668</v>
      </c>
      <c r="E19" s="764">
        <f t="shared" si="2"/>
        <v>1620</v>
      </c>
      <c r="F19" s="769">
        <f t="shared" si="0"/>
        <v>1200</v>
      </c>
      <c r="G19" s="768">
        <f t="shared" si="4"/>
        <v>1920</v>
      </c>
      <c r="H19" s="766">
        <f t="shared" si="5"/>
        <v>2520</v>
      </c>
      <c r="I19" s="771">
        <f t="shared" si="3"/>
        <v>1080</v>
      </c>
    </row>
    <row r="20" spans="1:9" x14ac:dyDescent="0.25">
      <c r="A20">
        <v>10</v>
      </c>
      <c r="B20" s="763">
        <f t="shared" si="1"/>
        <v>61440</v>
      </c>
      <c r="C20" s="873">
        <f>basis*ROUND($A20^1.5, 1)</f>
        <v>3792</v>
      </c>
      <c r="D20" s="874">
        <f>basis*ROUND($A20^D$8, 1)</f>
        <v>5568</v>
      </c>
      <c r="E20" s="764">
        <f t="shared" si="2"/>
        <v>1800</v>
      </c>
      <c r="F20" s="769">
        <f t="shared" si="0"/>
        <v>1320</v>
      </c>
      <c r="G20" s="768">
        <f t="shared" si="4"/>
        <v>2160</v>
      </c>
      <c r="H20" s="766">
        <f t="shared" si="5"/>
        <v>2880</v>
      </c>
      <c r="I20" s="771">
        <f t="shared" si="3"/>
        <v>1200</v>
      </c>
    </row>
    <row r="21" spans="1:9" x14ac:dyDescent="0.25">
      <c r="A21">
        <v>11</v>
      </c>
      <c r="B21" s="763">
        <f t="shared" si="1"/>
        <v>122880</v>
      </c>
      <c r="C21" s="873">
        <f>basis*ROUND($A21^1.5, 1)</f>
        <v>4380</v>
      </c>
      <c r="D21" s="874">
        <f>basis*ROUND($A21^D$8, 1)</f>
        <v>6528</v>
      </c>
      <c r="E21" s="764">
        <f t="shared" si="2"/>
        <v>1980</v>
      </c>
      <c r="F21" s="769">
        <f t="shared" si="0"/>
        <v>1440</v>
      </c>
      <c r="G21" s="768">
        <f t="shared" si="4"/>
        <v>2400</v>
      </c>
      <c r="H21" s="766">
        <f t="shared" si="5"/>
        <v>3240</v>
      </c>
      <c r="I21" s="771">
        <f t="shared" si="3"/>
        <v>1320</v>
      </c>
    </row>
    <row r="22" spans="1:9" x14ac:dyDescent="0.25">
      <c r="A22">
        <v>12</v>
      </c>
      <c r="B22" s="763">
        <f t="shared" si="1"/>
        <v>245760</v>
      </c>
      <c r="C22" s="873">
        <f>basis*ROUND($A22^1.5, 1)</f>
        <v>4992</v>
      </c>
      <c r="D22" s="874">
        <f>basis*ROUND($A22^D$8, 1)</f>
        <v>7548</v>
      </c>
      <c r="E22" s="764">
        <f t="shared" si="2"/>
        <v>2160</v>
      </c>
      <c r="F22" s="769">
        <f t="shared" si="0"/>
        <v>1560</v>
      </c>
      <c r="G22" s="768">
        <f t="shared" si="4"/>
        <v>2640</v>
      </c>
      <c r="H22" s="766">
        <f t="shared" si="5"/>
        <v>3600</v>
      </c>
      <c r="I22" s="771">
        <f t="shared" si="3"/>
        <v>1440</v>
      </c>
    </row>
    <row r="23" spans="1:9" x14ac:dyDescent="0.25">
      <c r="A23">
        <v>13</v>
      </c>
      <c r="B23" s="763">
        <f t="shared" si="1"/>
        <v>491520</v>
      </c>
      <c r="C23" s="873">
        <f>basis*ROUND($A23^1.5, 1)</f>
        <v>5628</v>
      </c>
      <c r="D23" s="874">
        <f>basis*ROUND($A23^D$8, 1)</f>
        <v>8628</v>
      </c>
      <c r="E23" s="764">
        <f t="shared" si="2"/>
        <v>2340</v>
      </c>
      <c r="F23" s="769">
        <f t="shared" si="0"/>
        <v>1680</v>
      </c>
      <c r="G23" s="768">
        <f t="shared" si="4"/>
        <v>2880</v>
      </c>
      <c r="H23" s="766">
        <f t="shared" si="5"/>
        <v>3960</v>
      </c>
      <c r="I23" s="771">
        <f t="shared" si="3"/>
        <v>1560</v>
      </c>
    </row>
    <row r="24" spans="1:9" x14ac:dyDescent="0.25">
      <c r="A24">
        <v>14</v>
      </c>
      <c r="B24" s="763">
        <f t="shared" si="1"/>
        <v>983040</v>
      </c>
      <c r="C24" s="873">
        <f>basis*ROUND($A24^1.5, 1)</f>
        <v>6288</v>
      </c>
      <c r="D24" s="874">
        <f>basis*ROUND($A24^D$8, 1)</f>
        <v>9756</v>
      </c>
      <c r="E24" s="764">
        <f t="shared" si="2"/>
        <v>2520</v>
      </c>
      <c r="F24" s="769">
        <f t="shared" si="0"/>
        <v>1800</v>
      </c>
      <c r="G24" s="768">
        <f t="shared" si="4"/>
        <v>3120</v>
      </c>
      <c r="H24" s="766">
        <f t="shared" si="5"/>
        <v>4320</v>
      </c>
      <c r="I24" s="771">
        <f t="shared" si="3"/>
        <v>1680</v>
      </c>
    </row>
    <row r="25" spans="1:9" x14ac:dyDescent="0.25">
      <c r="A25">
        <v>15</v>
      </c>
      <c r="B25" s="763">
        <f t="shared" si="1"/>
        <v>1966080</v>
      </c>
      <c r="C25" s="873">
        <f>basis*ROUND($A25^1.5, 1)</f>
        <v>6972</v>
      </c>
      <c r="D25" s="874">
        <f>basis*ROUND($A25^D$8, 1)</f>
        <v>10944</v>
      </c>
      <c r="E25" s="764">
        <f t="shared" si="2"/>
        <v>2700</v>
      </c>
      <c r="F25" s="769">
        <f t="shared" si="0"/>
        <v>1920</v>
      </c>
      <c r="G25" s="768">
        <f t="shared" si="4"/>
        <v>3360</v>
      </c>
      <c r="H25" s="766">
        <f t="shared" si="5"/>
        <v>4680</v>
      </c>
      <c r="I25" s="771">
        <f t="shared" si="3"/>
        <v>1800</v>
      </c>
    </row>
    <row r="26" spans="1:9" x14ac:dyDescent="0.25">
      <c r="A26">
        <v>16</v>
      </c>
      <c r="B26" s="763">
        <f t="shared" si="1"/>
        <v>3932160</v>
      </c>
      <c r="C26" s="873">
        <f>basis*ROUND($A26^1.5, 1)</f>
        <v>7680</v>
      </c>
      <c r="D26" s="874">
        <f>basis*ROUND($A26^D$8, 1)</f>
        <v>12192</v>
      </c>
      <c r="E26" s="764">
        <f t="shared" si="2"/>
        <v>2880</v>
      </c>
      <c r="F26" s="769">
        <f t="shared" si="0"/>
        <v>2040</v>
      </c>
      <c r="G26" s="768">
        <f t="shared" si="4"/>
        <v>3600</v>
      </c>
      <c r="H26" s="766">
        <f t="shared" si="5"/>
        <v>5040</v>
      </c>
      <c r="I26" s="771">
        <f t="shared" si="3"/>
        <v>1920</v>
      </c>
    </row>
    <row r="27" spans="1:9" x14ac:dyDescent="0.25">
      <c r="A27">
        <v>17</v>
      </c>
      <c r="B27" s="763">
        <f t="shared" si="1"/>
        <v>7864320</v>
      </c>
      <c r="C27" s="873">
        <f>basis*ROUND($A27^1.5, 1)</f>
        <v>8412</v>
      </c>
      <c r="D27" s="874">
        <f>basis*ROUND($A27^D$8, 1)</f>
        <v>13488</v>
      </c>
      <c r="E27" s="764">
        <f t="shared" si="2"/>
        <v>3060</v>
      </c>
      <c r="F27" s="769">
        <f t="shared" si="0"/>
        <v>2160</v>
      </c>
      <c r="G27" s="768">
        <f t="shared" si="4"/>
        <v>3840</v>
      </c>
      <c r="H27" s="766">
        <f t="shared" si="5"/>
        <v>5400</v>
      </c>
      <c r="I27" s="771">
        <f t="shared" si="3"/>
        <v>2040</v>
      </c>
    </row>
    <row r="28" spans="1:9" x14ac:dyDescent="0.25">
      <c r="A28">
        <v>18</v>
      </c>
      <c r="B28" s="763">
        <f t="shared" si="1"/>
        <v>15728640</v>
      </c>
      <c r="C28" s="873">
        <f>basis*ROUND($A28^1.5, 1)</f>
        <v>9168</v>
      </c>
      <c r="D28" s="874">
        <f>basis*ROUND($A28^D$8, 1)</f>
        <v>14832</v>
      </c>
      <c r="E28" s="764">
        <f t="shared" si="2"/>
        <v>3240</v>
      </c>
      <c r="F28" s="769">
        <f t="shared" si="0"/>
        <v>2280</v>
      </c>
      <c r="G28" s="768">
        <f t="shared" si="4"/>
        <v>4080</v>
      </c>
      <c r="H28" s="766">
        <f t="shared" si="5"/>
        <v>5760</v>
      </c>
      <c r="I28" s="771">
        <f t="shared" si="3"/>
        <v>2160</v>
      </c>
    </row>
    <row r="29" spans="1:9" x14ac:dyDescent="0.25">
      <c r="A29">
        <v>19</v>
      </c>
      <c r="B29" s="763">
        <f t="shared" si="1"/>
        <v>31457280</v>
      </c>
      <c r="C29" s="873">
        <f>basis*ROUND($A29^1.5, 1)</f>
        <v>9936</v>
      </c>
      <c r="D29" s="874">
        <f>basis*ROUND($A29^D$8, 1)</f>
        <v>16236.000000000002</v>
      </c>
      <c r="E29" s="764">
        <f t="shared" si="2"/>
        <v>3420</v>
      </c>
      <c r="F29" s="769">
        <f t="shared" si="0"/>
        <v>2400</v>
      </c>
      <c r="G29" s="768">
        <f t="shared" si="4"/>
        <v>4320</v>
      </c>
      <c r="H29" s="766">
        <f t="shared" si="5"/>
        <v>6120</v>
      </c>
      <c r="I29" s="771">
        <f t="shared" si="3"/>
        <v>2280</v>
      </c>
    </row>
    <row r="30" spans="1:9" x14ac:dyDescent="0.25">
      <c r="A30">
        <v>20</v>
      </c>
      <c r="B30" s="763">
        <f t="shared" si="1"/>
        <v>62914560</v>
      </c>
      <c r="C30" s="873">
        <f>basis*ROUND($A30^1.5, 1)</f>
        <v>10728</v>
      </c>
      <c r="D30" s="874">
        <f>basis*ROUND($A30^D$8, 1)</f>
        <v>17688</v>
      </c>
      <c r="E30" s="764">
        <f t="shared" si="2"/>
        <v>3600</v>
      </c>
      <c r="F30" s="769">
        <f t="shared" si="0"/>
        <v>2520</v>
      </c>
      <c r="G30" s="768">
        <f t="shared" si="4"/>
        <v>4560</v>
      </c>
      <c r="H30" s="766">
        <f t="shared" si="5"/>
        <v>6480</v>
      </c>
      <c r="I30" s="771">
        <f t="shared" si="3"/>
        <v>2400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4"/>
  <sheetViews>
    <sheetView workbookViewId="0">
      <selection activeCell="E24" sqref="E24"/>
    </sheetView>
  </sheetViews>
  <sheetFormatPr defaultRowHeight="15" x14ac:dyDescent="0.25"/>
  <cols>
    <col min="2" max="2" width="20.140625" bestFit="1" customWidth="1"/>
    <col min="5" max="8" width="9.140625" customWidth="1"/>
    <col min="9" max="9" width="14" customWidth="1"/>
    <col min="10" max="10" width="12.7109375" bestFit="1" customWidth="1"/>
    <col min="11" max="11" width="13.5703125" customWidth="1"/>
    <col min="13" max="13" width="12.140625" customWidth="1"/>
    <col min="14" max="15" width="9.140625" customWidth="1"/>
    <col min="16" max="16" width="15.140625" bestFit="1" customWidth="1"/>
  </cols>
  <sheetData>
    <row r="1" spans="2:17" ht="15.75" thickBot="1" x14ac:dyDescent="0.3"/>
    <row r="2" spans="2:17" ht="31.5" customHeight="1" thickBot="1" x14ac:dyDescent="0.3">
      <c r="B2" s="99" t="s">
        <v>29</v>
      </c>
      <c r="C2" s="100" t="s">
        <v>30</v>
      </c>
      <c r="D2" s="99" t="s">
        <v>0</v>
      </c>
      <c r="E2" s="129" t="s">
        <v>26</v>
      </c>
      <c r="F2" s="129" t="s">
        <v>25</v>
      </c>
      <c r="G2" s="129" t="s">
        <v>127</v>
      </c>
      <c r="H2" s="131" t="s">
        <v>6</v>
      </c>
      <c r="I2" s="127" t="s">
        <v>180</v>
      </c>
      <c r="J2" s="54" t="s">
        <v>130</v>
      </c>
      <c r="K2" s="131" t="s">
        <v>131</v>
      </c>
      <c r="M2" s="128" t="s">
        <v>181</v>
      </c>
      <c r="N2" s="130" t="s">
        <v>147</v>
      </c>
      <c r="O2" s="129" t="s">
        <v>148</v>
      </c>
      <c r="P2" s="101" t="s">
        <v>149</v>
      </c>
      <c r="Q2" s="100" t="s">
        <v>179</v>
      </c>
    </row>
    <row r="3" spans="2:17" x14ac:dyDescent="0.25">
      <c r="B3" s="826" t="s">
        <v>37</v>
      </c>
      <c r="C3" s="98" t="s">
        <v>9</v>
      </c>
      <c r="D3" s="96">
        <v>12</v>
      </c>
      <c r="E3" s="97">
        <v>52</v>
      </c>
      <c r="F3" s="97">
        <v>2.9</v>
      </c>
      <c r="G3" s="97">
        <v>6</v>
      </c>
      <c r="H3" s="98">
        <v>3</v>
      </c>
      <c r="I3" s="106">
        <f>G3/D3</f>
        <v>0.5</v>
      </c>
      <c r="J3" s="106">
        <f>G3/F3</f>
        <v>2.0689655172413794</v>
      </c>
      <c r="K3" s="103">
        <f t="shared" ref="K3:K16" si="0">J3/D3</f>
        <v>0.17241379310344829</v>
      </c>
      <c r="M3" s="96" t="s">
        <v>150</v>
      </c>
      <c r="N3" s="97">
        <v>65</v>
      </c>
      <c r="O3" s="7" t="s">
        <v>24</v>
      </c>
      <c r="P3" s="7" t="s">
        <v>24</v>
      </c>
      <c r="Q3" s="18" t="s">
        <v>24</v>
      </c>
    </row>
    <row r="4" spans="2:17" x14ac:dyDescent="0.25">
      <c r="B4" s="856"/>
      <c r="C4" s="11" t="s">
        <v>10</v>
      </c>
      <c r="D4" s="14">
        <v>12</v>
      </c>
      <c r="E4" s="2">
        <v>52</v>
      </c>
      <c r="F4" s="2">
        <v>2.2999999999999998</v>
      </c>
      <c r="G4" s="2">
        <v>8</v>
      </c>
      <c r="H4" s="11">
        <v>5</v>
      </c>
      <c r="I4" s="107">
        <f t="shared" ref="I4:I16" si="1">G4/D4</f>
        <v>0.66666666666666663</v>
      </c>
      <c r="J4" s="107">
        <f t="shared" ref="J4:J16" si="2">G4/F4</f>
        <v>3.4782608695652177</v>
      </c>
      <c r="K4" s="104">
        <f t="shared" si="0"/>
        <v>0.28985507246376813</v>
      </c>
      <c r="M4" s="14" t="s">
        <v>151</v>
      </c>
      <c r="N4" s="2">
        <v>68</v>
      </c>
      <c r="O4" s="2">
        <v>5</v>
      </c>
      <c r="P4" s="2" t="s">
        <v>172</v>
      </c>
      <c r="Q4" s="19" t="s">
        <v>24</v>
      </c>
    </row>
    <row r="5" spans="2:17" ht="15.75" thickBot="1" x14ac:dyDescent="0.3">
      <c r="B5" s="857"/>
      <c r="C5" s="12" t="s">
        <v>11</v>
      </c>
      <c r="D5" s="15">
        <v>12</v>
      </c>
      <c r="E5" s="8">
        <v>52</v>
      </c>
      <c r="F5" s="8">
        <v>2.2999999999999998</v>
      </c>
      <c r="G5" s="8">
        <v>12</v>
      </c>
      <c r="H5" s="12">
        <v>7</v>
      </c>
      <c r="I5" s="108">
        <f t="shared" si="1"/>
        <v>1</v>
      </c>
      <c r="J5" s="108">
        <f t="shared" si="2"/>
        <v>5.2173913043478262</v>
      </c>
      <c r="K5" s="105">
        <f t="shared" si="0"/>
        <v>0.43478260869565216</v>
      </c>
      <c r="M5" s="14" t="s">
        <v>152</v>
      </c>
      <c r="N5" s="2">
        <v>72</v>
      </c>
      <c r="O5" s="3" t="s">
        <v>24</v>
      </c>
      <c r="P5" s="3" t="s">
        <v>24</v>
      </c>
      <c r="Q5" s="19" t="s">
        <v>24</v>
      </c>
    </row>
    <row r="6" spans="2:17" x14ac:dyDescent="0.25">
      <c r="B6" s="826" t="s">
        <v>128</v>
      </c>
      <c r="C6" s="98" t="s">
        <v>9</v>
      </c>
      <c r="D6" s="96">
        <v>8</v>
      </c>
      <c r="E6" s="97">
        <v>15</v>
      </c>
      <c r="F6" s="97">
        <v>6</v>
      </c>
      <c r="G6" s="97">
        <v>3</v>
      </c>
      <c r="H6" s="98">
        <v>3</v>
      </c>
      <c r="I6" s="106">
        <f t="shared" si="1"/>
        <v>0.375</v>
      </c>
      <c r="J6" s="106">
        <f t="shared" si="2"/>
        <v>0.5</v>
      </c>
      <c r="K6" s="103">
        <f t="shared" si="0"/>
        <v>6.25E-2</v>
      </c>
      <c r="M6" s="14" t="s">
        <v>153</v>
      </c>
      <c r="N6" s="2">
        <v>72</v>
      </c>
      <c r="O6" s="3" t="s">
        <v>24</v>
      </c>
      <c r="P6" s="3" t="s">
        <v>24</v>
      </c>
      <c r="Q6" s="19" t="s">
        <v>24</v>
      </c>
    </row>
    <row r="7" spans="2:17" x14ac:dyDescent="0.25">
      <c r="B7" s="856"/>
      <c r="C7" s="11" t="s">
        <v>10</v>
      </c>
      <c r="D7" s="14">
        <v>8</v>
      </c>
      <c r="E7" s="2">
        <v>15</v>
      </c>
      <c r="F7" s="2">
        <v>6</v>
      </c>
      <c r="G7" s="2">
        <v>5</v>
      </c>
      <c r="H7" s="11">
        <v>4</v>
      </c>
      <c r="I7" s="107">
        <f t="shared" si="1"/>
        <v>0.625</v>
      </c>
      <c r="J7" s="107">
        <f t="shared" si="2"/>
        <v>0.83333333333333337</v>
      </c>
      <c r="K7" s="104">
        <f t="shared" si="0"/>
        <v>0.10416666666666667</v>
      </c>
      <c r="M7" s="14" t="s">
        <v>154</v>
      </c>
      <c r="N7" s="2">
        <v>76</v>
      </c>
      <c r="O7" s="3" t="s">
        <v>24</v>
      </c>
      <c r="P7" s="3" t="s">
        <v>24</v>
      </c>
      <c r="Q7" s="19" t="s">
        <v>24</v>
      </c>
    </row>
    <row r="8" spans="2:17" ht="15.75" thickBot="1" x14ac:dyDescent="0.3">
      <c r="B8" s="857"/>
      <c r="C8" s="12" t="s">
        <v>11</v>
      </c>
      <c r="D8" s="15">
        <v>8</v>
      </c>
      <c r="E8" s="8">
        <v>15</v>
      </c>
      <c r="F8" s="8">
        <v>6</v>
      </c>
      <c r="G8" s="8">
        <v>8</v>
      </c>
      <c r="H8" s="12">
        <v>5</v>
      </c>
      <c r="I8" s="108">
        <f t="shared" si="1"/>
        <v>1</v>
      </c>
      <c r="J8" s="108">
        <f t="shared" si="2"/>
        <v>1.3333333333333333</v>
      </c>
      <c r="K8" s="105">
        <f t="shared" si="0"/>
        <v>0.16666666666666666</v>
      </c>
      <c r="M8" s="14" t="s">
        <v>155</v>
      </c>
      <c r="N8" s="2">
        <v>81</v>
      </c>
      <c r="O8" s="3" t="s">
        <v>24</v>
      </c>
      <c r="P8" s="3" t="s">
        <v>24</v>
      </c>
      <c r="Q8" s="19" t="s">
        <v>24</v>
      </c>
    </row>
    <row r="9" spans="2:17" x14ac:dyDescent="0.25">
      <c r="B9" s="826" t="s">
        <v>129</v>
      </c>
      <c r="C9" s="98" t="s">
        <v>9</v>
      </c>
      <c r="D9" s="96">
        <v>14</v>
      </c>
      <c r="E9" s="97">
        <v>44</v>
      </c>
      <c r="F9" s="97">
        <v>6.7</v>
      </c>
      <c r="G9" s="97">
        <v>8</v>
      </c>
      <c r="H9" s="98">
        <v>5</v>
      </c>
      <c r="I9" s="106">
        <f t="shared" si="1"/>
        <v>0.5714285714285714</v>
      </c>
      <c r="J9" s="106">
        <f t="shared" si="2"/>
        <v>1.1940298507462686</v>
      </c>
      <c r="K9" s="103">
        <f t="shared" si="0"/>
        <v>8.5287846481876331E-2</v>
      </c>
      <c r="M9" s="14" t="s">
        <v>156</v>
      </c>
      <c r="N9" s="2">
        <v>84</v>
      </c>
      <c r="O9" s="3" t="s">
        <v>24</v>
      </c>
      <c r="P9" s="3" t="s">
        <v>24</v>
      </c>
      <c r="Q9" s="19" t="s">
        <v>24</v>
      </c>
    </row>
    <row r="10" spans="2:17" x14ac:dyDescent="0.25">
      <c r="B10" s="856"/>
      <c r="C10" s="11" t="s">
        <v>10</v>
      </c>
      <c r="D10" s="14">
        <v>14</v>
      </c>
      <c r="E10" s="2">
        <v>44</v>
      </c>
      <c r="F10" s="2">
        <v>6.7</v>
      </c>
      <c r="G10" s="2">
        <v>12</v>
      </c>
      <c r="H10" s="11">
        <v>6</v>
      </c>
      <c r="I10" s="107">
        <f t="shared" si="1"/>
        <v>0.8571428571428571</v>
      </c>
      <c r="J10" s="107">
        <f t="shared" si="2"/>
        <v>1.791044776119403</v>
      </c>
      <c r="K10" s="104">
        <f t="shared" si="0"/>
        <v>0.1279317697228145</v>
      </c>
      <c r="M10" s="14" t="s">
        <v>157</v>
      </c>
      <c r="N10" s="2">
        <v>85</v>
      </c>
      <c r="O10" s="3" t="s">
        <v>24</v>
      </c>
      <c r="P10" s="3" t="s">
        <v>24</v>
      </c>
      <c r="Q10" s="19" t="s">
        <v>24</v>
      </c>
    </row>
    <row r="11" spans="2:17" ht="15.75" thickBot="1" x14ac:dyDescent="0.3">
      <c r="B11" s="857"/>
      <c r="C11" s="12" t="s">
        <v>11</v>
      </c>
      <c r="D11" s="15">
        <v>14</v>
      </c>
      <c r="E11" s="8">
        <v>44</v>
      </c>
      <c r="F11" s="8">
        <v>6.7</v>
      </c>
      <c r="G11" s="8">
        <v>18</v>
      </c>
      <c r="H11" s="12">
        <v>7</v>
      </c>
      <c r="I11" s="108">
        <f t="shared" si="1"/>
        <v>1.2857142857142858</v>
      </c>
      <c r="J11" s="108">
        <f t="shared" si="2"/>
        <v>2.6865671641791042</v>
      </c>
      <c r="K11" s="105">
        <f t="shared" si="0"/>
        <v>0.19189765458422173</v>
      </c>
      <c r="M11" s="14" t="s">
        <v>158</v>
      </c>
      <c r="N11" s="2">
        <v>88</v>
      </c>
      <c r="O11" s="3" t="s">
        <v>24</v>
      </c>
      <c r="P11" s="3" t="s">
        <v>24</v>
      </c>
      <c r="Q11" s="19" t="s">
        <v>24</v>
      </c>
    </row>
    <row r="12" spans="2:17" x14ac:dyDescent="0.25">
      <c r="B12" s="826" t="s">
        <v>54</v>
      </c>
      <c r="C12" s="98" t="s">
        <v>9</v>
      </c>
      <c r="D12" s="96">
        <v>12</v>
      </c>
      <c r="E12" s="97">
        <v>8</v>
      </c>
      <c r="F12" s="97">
        <v>2</v>
      </c>
      <c r="G12" s="97">
        <v>1</v>
      </c>
      <c r="H12" s="98">
        <v>3</v>
      </c>
      <c r="I12" s="106">
        <f t="shared" si="1"/>
        <v>8.3333333333333329E-2</v>
      </c>
      <c r="J12" s="106">
        <f t="shared" si="2"/>
        <v>0.5</v>
      </c>
      <c r="K12" s="103">
        <f t="shared" si="0"/>
        <v>4.1666666666666664E-2</v>
      </c>
      <c r="M12" s="14" t="s">
        <v>159</v>
      </c>
      <c r="N12" s="2">
        <v>92</v>
      </c>
      <c r="O12" s="2">
        <v>5</v>
      </c>
      <c r="P12" s="2" t="s">
        <v>173</v>
      </c>
      <c r="Q12" s="19" t="s">
        <v>24</v>
      </c>
    </row>
    <row r="13" spans="2:17" x14ac:dyDescent="0.25">
      <c r="B13" s="856"/>
      <c r="C13" s="11" t="s">
        <v>10</v>
      </c>
      <c r="D13" s="14">
        <v>12</v>
      </c>
      <c r="E13" s="2">
        <v>9</v>
      </c>
      <c r="F13" s="2">
        <v>1.9</v>
      </c>
      <c r="G13" s="2">
        <v>1</v>
      </c>
      <c r="H13" s="11">
        <v>4</v>
      </c>
      <c r="I13" s="107">
        <f t="shared" si="1"/>
        <v>8.3333333333333329E-2</v>
      </c>
      <c r="J13" s="107">
        <f t="shared" si="2"/>
        <v>0.52631578947368418</v>
      </c>
      <c r="K13" s="104">
        <f t="shared" si="0"/>
        <v>4.3859649122807015E-2</v>
      </c>
      <c r="M13" s="14" t="s">
        <v>160</v>
      </c>
      <c r="N13" s="2">
        <v>95</v>
      </c>
      <c r="O13" s="3" t="s">
        <v>24</v>
      </c>
      <c r="P13" s="3" t="s">
        <v>24</v>
      </c>
      <c r="Q13" s="19" t="s">
        <v>24</v>
      </c>
    </row>
    <row r="14" spans="2:17" ht="15.75" thickBot="1" x14ac:dyDescent="0.3">
      <c r="B14" s="857"/>
      <c r="C14" s="12" t="s">
        <v>11</v>
      </c>
      <c r="D14" s="15">
        <v>12</v>
      </c>
      <c r="E14" s="8">
        <v>10</v>
      </c>
      <c r="F14" s="8">
        <v>1.8</v>
      </c>
      <c r="G14" s="8">
        <v>1</v>
      </c>
      <c r="H14" s="12">
        <v>5</v>
      </c>
      <c r="I14" s="108">
        <f t="shared" si="1"/>
        <v>8.3333333333333329E-2</v>
      </c>
      <c r="J14" s="108">
        <f t="shared" si="2"/>
        <v>0.55555555555555558</v>
      </c>
      <c r="K14" s="105">
        <f t="shared" si="0"/>
        <v>4.6296296296296301E-2</v>
      </c>
      <c r="M14" s="14" t="s">
        <v>161</v>
      </c>
      <c r="N14" s="2">
        <v>104</v>
      </c>
      <c r="O14" s="2">
        <v>5</v>
      </c>
      <c r="P14" s="2" t="s">
        <v>174</v>
      </c>
      <c r="Q14" s="19" t="s">
        <v>24</v>
      </c>
    </row>
    <row r="15" spans="2:17" x14ac:dyDescent="0.25">
      <c r="B15" s="826" t="s">
        <v>56</v>
      </c>
      <c r="C15" s="98" t="s">
        <v>9</v>
      </c>
      <c r="D15" s="96">
        <v>18</v>
      </c>
      <c r="E15" s="97">
        <v>12</v>
      </c>
      <c r="F15" s="97">
        <v>2.8</v>
      </c>
      <c r="G15" s="97">
        <v>2</v>
      </c>
      <c r="H15" s="98">
        <v>6</v>
      </c>
      <c r="I15" s="106">
        <f t="shared" si="1"/>
        <v>0.1111111111111111</v>
      </c>
      <c r="J15" s="106">
        <f t="shared" si="2"/>
        <v>0.7142857142857143</v>
      </c>
      <c r="K15" s="103">
        <f t="shared" si="0"/>
        <v>3.968253968253968E-2</v>
      </c>
      <c r="M15" s="14" t="s">
        <v>162</v>
      </c>
      <c r="N15" s="2">
        <v>121</v>
      </c>
      <c r="O15" s="2">
        <v>5</v>
      </c>
      <c r="P15" s="2" t="s">
        <v>175</v>
      </c>
      <c r="Q15" s="19" t="s">
        <v>24</v>
      </c>
    </row>
    <row r="16" spans="2:17" ht="15.75" thickBot="1" x14ac:dyDescent="0.3">
      <c r="B16" s="857"/>
      <c r="C16" s="12" t="s">
        <v>10</v>
      </c>
      <c r="D16" s="15">
        <v>18</v>
      </c>
      <c r="E16" s="8">
        <v>12</v>
      </c>
      <c r="F16" s="8">
        <v>2.8</v>
      </c>
      <c r="G16" s="8">
        <v>2</v>
      </c>
      <c r="H16" s="12">
        <v>7</v>
      </c>
      <c r="I16" s="108">
        <f t="shared" si="1"/>
        <v>0.1111111111111111</v>
      </c>
      <c r="J16" s="108">
        <f t="shared" si="2"/>
        <v>0.7142857142857143</v>
      </c>
      <c r="K16" s="105">
        <f t="shared" si="0"/>
        <v>3.968253968253968E-2</v>
      </c>
      <c r="M16" s="14" t="s">
        <v>163</v>
      </c>
      <c r="N16" s="2">
        <v>124</v>
      </c>
      <c r="O16" s="3" t="s">
        <v>24</v>
      </c>
      <c r="P16" s="3" t="s">
        <v>24</v>
      </c>
      <c r="Q16" s="19" t="s">
        <v>24</v>
      </c>
    </row>
    <row r="17" spans="13:17" x14ac:dyDescent="0.25">
      <c r="M17" s="14" t="s">
        <v>164</v>
      </c>
      <c r="N17" s="2">
        <v>126</v>
      </c>
      <c r="O17" s="2">
        <v>5</v>
      </c>
      <c r="P17" s="2" t="s">
        <v>174</v>
      </c>
      <c r="Q17" s="19" t="s">
        <v>24</v>
      </c>
    </row>
    <row r="18" spans="13:17" x14ac:dyDescent="0.25">
      <c r="M18" s="14" t="s">
        <v>165</v>
      </c>
      <c r="N18" s="2">
        <v>128</v>
      </c>
      <c r="O18" s="3" t="s">
        <v>24</v>
      </c>
      <c r="P18" s="3" t="s">
        <v>24</v>
      </c>
      <c r="Q18" s="19" t="s">
        <v>24</v>
      </c>
    </row>
    <row r="19" spans="13:17" x14ac:dyDescent="0.25">
      <c r="M19" s="14" t="s">
        <v>166</v>
      </c>
      <c r="N19" s="2">
        <v>129</v>
      </c>
      <c r="O19" s="2">
        <v>10</v>
      </c>
      <c r="P19" s="2" t="s">
        <v>176</v>
      </c>
      <c r="Q19" s="125">
        <v>-0.4</v>
      </c>
    </row>
    <row r="20" spans="13:17" x14ac:dyDescent="0.25">
      <c r="M20" s="14" t="s">
        <v>167</v>
      </c>
      <c r="N20" s="2">
        <v>130</v>
      </c>
      <c r="O20" s="2">
        <v>5</v>
      </c>
      <c r="P20" s="2" t="s">
        <v>177</v>
      </c>
      <c r="Q20" s="125">
        <v>-0.2</v>
      </c>
    </row>
    <row r="21" spans="13:17" x14ac:dyDescent="0.25">
      <c r="M21" s="14" t="s">
        <v>168</v>
      </c>
      <c r="N21" s="2">
        <v>132</v>
      </c>
      <c r="O21" s="2">
        <v>5</v>
      </c>
      <c r="P21" s="2" t="s">
        <v>174</v>
      </c>
      <c r="Q21" s="125">
        <v>-0.3</v>
      </c>
    </row>
    <row r="22" spans="13:17" x14ac:dyDescent="0.25">
      <c r="M22" s="14" t="s">
        <v>169</v>
      </c>
      <c r="N22" s="2">
        <v>134</v>
      </c>
      <c r="O22" s="2">
        <v>5</v>
      </c>
      <c r="P22" s="2" t="s">
        <v>178</v>
      </c>
      <c r="Q22" s="125">
        <v>-0.25</v>
      </c>
    </row>
    <row r="23" spans="13:17" x14ac:dyDescent="0.25">
      <c r="M23" s="14" t="s">
        <v>170</v>
      </c>
      <c r="N23" s="2">
        <v>138</v>
      </c>
      <c r="O23" s="3" t="s">
        <v>24</v>
      </c>
      <c r="P23" s="3" t="s">
        <v>24</v>
      </c>
      <c r="Q23" s="125">
        <v>-0.25</v>
      </c>
    </row>
    <row r="24" spans="13:17" ht="15.75" thickBot="1" x14ac:dyDescent="0.3">
      <c r="M24" s="15" t="s">
        <v>171</v>
      </c>
      <c r="N24" s="8">
        <v>164</v>
      </c>
      <c r="O24" s="9" t="s">
        <v>24</v>
      </c>
      <c r="P24" s="9" t="s">
        <v>24</v>
      </c>
      <c r="Q24" s="126">
        <v>-0.2</v>
      </c>
    </row>
  </sheetData>
  <mergeCells count="5">
    <mergeCell ref="B3:B5"/>
    <mergeCell ref="B6:B8"/>
    <mergeCell ref="B9:B11"/>
    <mergeCell ref="B12:B14"/>
    <mergeCell ref="B15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16"/>
  <sheetViews>
    <sheetView workbookViewId="0"/>
  </sheetViews>
  <sheetFormatPr defaultRowHeight="15" x14ac:dyDescent="0.25"/>
  <cols>
    <col min="1" max="1" width="23.140625" bestFit="1" customWidth="1"/>
    <col min="14" max="14" width="17.5703125" bestFit="1" customWidth="1"/>
    <col min="15" max="15" width="25.140625" bestFit="1" customWidth="1"/>
  </cols>
  <sheetData>
    <row r="3" spans="1:17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46</v>
      </c>
      <c r="K3" t="s">
        <v>48</v>
      </c>
      <c r="L3" t="s">
        <v>47</v>
      </c>
      <c r="N3" t="s">
        <v>111</v>
      </c>
      <c r="O3" t="s">
        <v>114</v>
      </c>
      <c r="P3" t="s">
        <v>112</v>
      </c>
      <c r="Q3" t="s">
        <v>113</v>
      </c>
    </row>
    <row r="4" spans="1:17" x14ac:dyDescent="0.25">
      <c r="A4" s="858" t="s">
        <v>18</v>
      </c>
      <c r="B4" s="1" t="s">
        <v>9</v>
      </c>
      <c r="C4">
        <v>12</v>
      </c>
      <c r="D4">
        <v>20</v>
      </c>
      <c r="E4">
        <v>260</v>
      </c>
      <c r="F4">
        <v>80</v>
      </c>
      <c r="G4">
        <v>5</v>
      </c>
      <c r="H4">
        <v>3.3</v>
      </c>
      <c r="I4">
        <v>3</v>
      </c>
      <c r="N4">
        <f>F4/H4</f>
        <v>24.242424242424242</v>
      </c>
      <c r="O4">
        <f>N4/C4</f>
        <v>2.0202020202020203</v>
      </c>
      <c r="P4">
        <f>D4/H4</f>
        <v>6.0606060606060606</v>
      </c>
      <c r="Q4">
        <f>P4/C4</f>
        <v>0.50505050505050508</v>
      </c>
    </row>
    <row r="5" spans="1:17" x14ac:dyDescent="0.25">
      <c r="A5" s="858"/>
      <c r="B5" s="1" t="s">
        <v>10</v>
      </c>
      <c r="C5">
        <v>12</v>
      </c>
      <c r="D5">
        <v>26</v>
      </c>
      <c r="E5">
        <v>340</v>
      </c>
      <c r="F5">
        <v>80</v>
      </c>
      <c r="G5">
        <v>5</v>
      </c>
      <c r="H5">
        <v>3.3</v>
      </c>
      <c r="I5">
        <v>5</v>
      </c>
      <c r="N5">
        <f t="shared" ref="N5:N16" si="0">F5/H5</f>
        <v>24.242424242424242</v>
      </c>
      <c r="O5">
        <f t="shared" ref="O5:O16" si="1">N5/C5</f>
        <v>2.0202020202020203</v>
      </c>
      <c r="P5">
        <f t="shared" ref="P5:P16" si="2">D5/H5</f>
        <v>7.8787878787878789</v>
      </c>
      <c r="Q5">
        <f t="shared" ref="Q5:Q16" si="3">P5/C5</f>
        <v>0.65656565656565657</v>
      </c>
    </row>
    <row r="6" spans="1:17" x14ac:dyDescent="0.25">
      <c r="A6" s="858" t="s">
        <v>19</v>
      </c>
      <c r="B6" s="1" t="s">
        <v>9</v>
      </c>
      <c r="C6">
        <v>20</v>
      </c>
      <c r="D6">
        <v>24</v>
      </c>
      <c r="E6">
        <v>210</v>
      </c>
      <c r="F6">
        <v>125</v>
      </c>
      <c r="G6">
        <v>7</v>
      </c>
      <c r="H6">
        <v>6.6</v>
      </c>
      <c r="I6">
        <v>5</v>
      </c>
      <c r="N6">
        <f t="shared" si="0"/>
        <v>18.939393939393941</v>
      </c>
      <c r="O6">
        <f t="shared" si="1"/>
        <v>0.94696969696969702</v>
      </c>
      <c r="P6">
        <f t="shared" si="2"/>
        <v>3.6363636363636367</v>
      </c>
      <c r="Q6">
        <f t="shared" si="3"/>
        <v>0.18181818181818182</v>
      </c>
    </row>
    <row r="7" spans="1:17" x14ac:dyDescent="0.25">
      <c r="A7" s="858"/>
      <c r="B7" s="1" t="s">
        <v>10</v>
      </c>
      <c r="C7">
        <v>20</v>
      </c>
      <c r="D7">
        <v>30</v>
      </c>
      <c r="E7">
        <v>270</v>
      </c>
      <c r="F7">
        <v>125</v>
      </c>
      <c r="G7">
        <v>7</v>
      </c>
      <c r="H7">
        <v>6.6</v>
      </c>
      <c r="I7">
        <v>7</v>
      </c>
      <c r="N7">
        <f t="shared" si="0"/>
        <v>18.939393939393941</v>
      </c>
      <c r="O7">
        <f t="shared" si="1"/>
        <v>0.94696969696969702</v>
      </c>
      <c r="P7">
        <f t="shared" si="2"/>
        <v>4.5454545454545459</v>
      </c>
      <c r="Q7">
        <f t="shared" si="3"/>
        <v>0.22727272727272729</v>
      </c>
    </row>
    <row r="8" spans="1:17" x14ac:dyDescent="0.25">
      <c r="A8" s="858" t="s">
        <v>20</v>
      </c>
      <c r="B8" s="1" t="s">
        <v>9</v>
      </c>
      <c r="C8">
        <v>20</v>
      </c>
      <c r="D8">
        <v>15</v>
      </c>
      <c r="E8">
        <v>150</v>
      </c>
      <c r="F8">
        <v>40</v>
      </c>
      <c r="G8">
        <v>4</v>
      </c>
      <c r="H8">
        <v>7</v>
      </c>
      <c r="I8">
        <v>2</v>
      </c>
      <c r="N8">
        <f t="shared" si="0"/>
        <v>5.7142857142857144</v>
      </c>
      <c r="O8">
        <f t="shared" si="1"/>
        <v>0.2857142857142857</v>
      </c>
      <c r="P8">
        <f t="shared" si="2"/>
        <v>2.1428571428571428</v>
      </c>
      <c r="Q8">
        <f t="shared" si="3"/>
        <v>0.10714285714285714</v>
      </c>
    </row>
    <row r="9" spans="1:17" x14ac:dyDescent="0.25">
      <c r="A9" s="858"/>
      <c r="B9" s="1" t="s">
        <v>10</v>
      </c>
      <c r="C9">
        <v>20</v>
      </c>
      <c r="D9">
        <v>20</v>
      </c>
      <c r="E9">
        <v>200</v>
      </c>
      <c r="F9">
        <v>50</v>
      </c>
      <c r="G9">
        <v>4</v>
      </c>
      <c r="H9">
        <v>7</v>
      </c>
      <c r="I9">
        <v>3</v>
      </c>
      <c r="N9">
        <f t="shared" si="0"/>
        <v>7.1428571428571432</v>
      </c>
      <c r="O9">
        <f t="shared" si="1"/>
        <v>0.35714285714285715</v>
      </c>
      <c r="P9">
        <f t="shared" si="2"/>
        <v>2.8571428571428572</v>
      </c>
      <c r="Q9">
        <f t="shared" si="3"/>
        <v>0.14285714285714285</v>
      </c>
    </row>
    <row r="10" spans="1:17" x14ac:dyDescent="0.25">
      <c r="A10" s="858"/>
      <c r="B10" s="1" t="s">
        <v>11</v>
      </c>
      <c r="C10">
        <v>20</v>
      </c>
      <c r="D10">
        <v>25</v>
      </c>
      <c r="E10">
        <v>240</v>
      </c>
      <c r="F10">
        <v>60</v>
      </c>
      <c r="G10">
        <v>4</v>
      </c>
      <c r="H10">
        <v>7</v>
      </c>
      <c r="I10">
        <v>4</v>
      </c>
      <c r="N10">
        <f t="shared" si="0"/>
        <v>8.5714285714285712</v>
      </c>
      <c r="O10">
        <f t="shared" si="1"/>
        <v>0.42857142857142855</v>
      </c>
      <c r="P10">
        <f t="shared" si="2"/>
        <v>3.5714285714285716</v>
      </c>
      <c r="Q10">
        <f t="shared" si="3"/>
        <v>0.17857142857142858</v>
      </c>
    </row>
    <row r="11" spans="1:17" x14ac:dyDescent="0.25">
      <c r="A11" s="858" t="s">
        <v>21</v>
      </c>
      <c r="B11" s="1" t="s">
        <v>9</v>
      </c>
      <c r="C11">
        <v>30</v>
      </c>
      <c r="D11">
        <v>28</v>
      </c>
      <c r="E11">
        <v>240</v>
      </c>
      <c r="F11">
        <v>60</v>
      </c>
      <c r="G11">
        <v>3</v>
      </c>
      <c r="H11">
        <v>7</v>
      </c>
      <c r="I11">
        <v>4</v>
      </c>
      <c r="N11">
        <f t="shared" si="0"/>
        <v>8.5714285714285712</v>
      </c>
      <c r="O11">
        <f t="shared" si="1"/>
        <v>0.2857142857142857</v>
      </c>
      <c r="P11">
        <f t="shared" si="2"/>
        <v>4</v>
      </c>
      <c r="Q11">
        <f t="shared" si="3"/>
        <v>0.13333333333333333</v>
      </c>
    </row>
    <row r="12" spans="1:17" x14ac:dyDescent="0.25">
      <c r="A12" s="858"/>
      <c r="B12" s="1" t="s">
        <v>10</v>
      </c>
      <c r="C12">
        <v>30</v>
      </c>
      <c r="D12">
        <v>35</v>
      </c>
      <c r="E12">
        <v>280</v>
      </c>
      <c r="F12">
        <v>70</v>
      </c>
      <c r="G12">
        <v>3</v>
      </c>
      <c r="H12">
        <v>7</v>
      </c>
      <c r="I12">
        <v>5</v>
      </c>
      <c r="N12">
        <f t="shared" si="0"/>
        <v>10</v>
      </c>
      <c r="O12">
        <f t="shared" si="1"/>
        <v>0.33333333333333331</v>
      </c>
      <c r="P12">
        <f t="shared" si="2"/>
        <v>5</v>
      </c>
      <c r="Q12">
        <f t="shared" si="3"/>
        <v>0.16666666666666666</v>
      </c>
    </row>
    <row r="13" spans="1:17" x14ac:dyDescent="0.25">
      <c r="A13" s="858"/>
      <c r="B13" s="1" t="s">
        <v>11</v>
      </c>
      <c r="C13">
        <v>30</v>
      </c>
      <c r="D13">
        <v>40</v>
      </c>
      <c r="E13">
        <v>320</v>
      </c>
      <c r="F13">
        <v>80</v>
      </c>
      <c r="G13">
        <v>3</v>
      </c>
      <c r="H13">
        <v>7</v>
      </c>
      <c r="I13">
        <v>7</v>
      </c>
      <c r="N13">
        <f t="shared" si="0"/>
        <v>11.428571428571429</v>
      </c>
      <c r="O13">
        <f t="shared" si="1"/>
        <v>0.38095238095238099</v>
      </c>
      <c r="P13">
        <f t="shared" si="2"/>
        <v>5.7142857142857144</v>
      </c>
      <c r="Q13">
        <f t="shared" si="3"/>
        <v>0.19047619047619049</v>
      </c>
    </row>
    <row r="14" spans="1:17" x14ac:dyDescent="0.25">
      <c r="A14" t="s">
        <v>44</v>
      </c>
      <c r="B14" s="1" t="s">
        <v>9</v>
      </c>
      <c r="C14">
        <v>40</v>
      </c>
      <c r="D14">
        <v>40</v>
      </c>
      <c r="E14">
        <v>360</v>
      </c>
      <c r="F14">
        <v>100</v>
      </c>
      <c r="G14">
        <v>0</v>
      </c>
      <c r="H14">
        <v>9</v>
      </c>
      <c r="J14">
        <v>240</v>
      </c>
      <c r="K14">
        <v>80</v>
      </c>
      <c r="L14">
        <v>6</v>
      </c>
      <c r="N14">
        <f t="shared" si="0"/>
        <v>11.111111111111111</v>
      </c>
      <c r="O14">
        <f t="shared" si="1"/>
        <v>0.27777777777777779</v>
      </c>
      <c r="P14">
        <f t="shared" si="2"/>
        <v>4.4444444444444446</v>
      </c>
      <c r="Q14">
        <f t="shared" si="3"/>
        <v>0.11111111111111112</v>
      </c>
    </row>
    <row r="15" spans="1:17" x14ac:dyDescent="0.25">
      <c r="B15" s="1" t="s">
        <v>10</v>
      </c>
      <c r="C15">
        <v>40</v>
      </c>
      <c r="D15">
        <v>55</v>
      </c>
      <c r="E15">
        <v>420</v>
      </c>
      <c r="F15">
        <v>120</v>
      </c>
      <c r="G15">
        <v>0</v>
      </c>
      <c r="H15">
        <v>9</v>
      </c>
      <c r="J15">
        <v>280</v>
      </c>
      <c r="K15">
        <v>95</v>
      </c>
      <c r="L15">
        <v>7</v>
      </c>
      <c r="N15">
        <f t="shared" si="0"/>
        <v>13.333333333333334</v>
      </c>
      <c r="O15">
        <f t="shared" si="1"/>
        <v>0.33333333333333337</v>
      </c>
      <c r="P15">
        <f t="shared" si="2"/>
        <v>6.1111111111111107</v>
      </c>
      <c r="Q15">
        <f t="shared" si="3"/>
        <v>0.15277777777777776</v>
      </c>
    </row>
    <row r="16" spans="1:17" x14ac:dyDescent="0.25">
      <c r="A16" t="s">
        <v>45</v>
      </c>
      <c r="B16" s="26" t="s">
        <v>24</v>
      </c>
      <c r="C16">
        <v>50</v>
      </c>
      <c r="D16">
        <v>100</v>
      </c>
      <c r="E16">
        <v>520</v>
      </c>
      <c r="F16">
        <v>200</v>
      </c>
      <c r="G16">
        <v>0</v>
      </c>
      <c r="H16">
        <v>12</v>
      </c>
      <c r="J16">
        <v>350</v>
      </c>
      <c r="K16">
        <v>120</v>
      </c>
      <c r="L16">
        <v>8</v>
      </c>
      <c r="N16">
        <f t="shared" si="0"/>
        <v>16.666666666666668</v>
      </c>
      <c r="O16">
        <f t="shared" si="1"/>
        <v>0.33333333333333337</v>
      </c>
      <c r="P16">
        <f t="shared" si="2"/>
        <v>8.3333333333333339</v>
      </c>
      <c r="Q16">
        <f t="shared" si="3"/>
        <v>0.16666666666666669</v>
      </c>
    </row>
  </sheetData>
  <mergeCells count="4">
    <mergeCell ref="A4:A5"/>
    <mergeCell ref="A6:A7"/>
    <mergeCell ref="A8:A10"/>
    <mergeCell ref="A11:A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27"/>
  <sheetViews>
    <sheetView workbookViewId="0">
      <selection activeCell="D7" sqref="D7"/>
    </sheetView>
  </sheetViews>
  <sheetFormatPr defaultRowHeight="15" x14ac:dyDescent="0.25"/>
  <cols>
    <col min="1" max="1" width="17.5703125" bestFit="1" customWidth="1"/>
    <col min="4" max="4" width="11.28515625" customWidth="1"/>
  </cols>
  <sheetData>
    <row r="4" spans="1:13" x14ac:dyDescent="0.25">
      <c r="D4" s="860" t="s">
        <v>55</v>
      </c>
      <c r="E4" s="859" t="s">
        <v>53</v>
      </c>
      <c r="F4" s="859"/>
      <c r="G4" s="859"/>
      <c r="H4" s="859"/>
      <c r="I4" s="859" t="s">
        <v>54</v>
      </c>
      <c r="J4" s="859"/>
      <c r="K4" s="859"/>
      <c r="L4" s="859" t="s">
        <v>56</v>
      </c>
      <c r="M4" s="859"/>
    </row>
    <row r="5" spans="1:13" x14ac:dyDescent="0.25">
      <c r="D5" s="860"/>
      <c r="E5" t="s">
        <v>9</v>
      </c>
      <c r="F5" t="s">
        <v>10</v>
      </c>
      <c r="G5" t="s">
        <v>11</v>
      </c>
      <c r="H5" t="s">
        <v>23</v>
      </c>
      <c r="I5" t="s">
        <v>9</v>
      </c>
      <c r="J5" t="s">
        <v>10</v>
      </c>
      <c r="K5" t="s">
        <v>11</v>
      </c>
      <c r="L5" t="s">
        <v>9</v>
      </c>
      <c r="M5" t="s">
        <v>10</v>
      </c>
    </row>
    <row r="6" spans="1:13" x14ac:dyDescent="0.25">
      <c r="D6" s="29">
        <v>5</v>
      </c>
      <c r="E6">
        <v>6</v>
      </c>
      <c r="F6">
        <v>7</v>
      </c>
      <c r="G6">
        <v>7</v>
      </c>
      <c r="H6">
        <v>8</v>
      </c>
      <c r="I6">
        <v>10</v>
      </c>
      <c r="J6">
        <v>11</v>
      </c>
      <c r="K6">
        <v>13</v>
      </c>
      <c r="L6">
        <v>16</v>
      </c>
      <c r="M6">
        <v>19</v>
      </c>
    </row>
    <row r="7" spans="1:13" x14ac:dyDescent="0.25">
      <c r="A7" t="s">
        <v>51</v>
      </c>
      <c r="B7">
        <v>10</v>
      </c>
      <c r="C7">
        <v>2</v>
      </c>
      <c r="D7" s="30">
        <f>IF(2*$C7&lt;D$6,MAX(0.1,(D$6-2*$C7)/$B7),MAX(0.1,1/$B7)*0.2*D$6/(2*$C7))</f>
        <v>0.1</v>
      </c>
      <c r="E7" s="30">
        <f t="shared" ref="E7:M7" si="0">IF(2*$C7&lt;E$6,MAX(0.1,(E$6-2*$C7)/$B7),MAX(0.1,1/$B7)*0.2*E$6/(2*$C7))</f>
        <v>0.2</v>
      </c>
      <c r="F7" s="30">
        <f t="shared" si="0"/>
        <v>0.3</v>
      </c>
      <c r="G7" s="30">
        <f t="shared" si="0"/>
        <v>0.3</v>
      </c>
      <c r="H7" s="30">
        <f t="shared" si="0"/>
        <v>0.4</v>
      </c>
      <c r="I7" s="30">
        <f t="shared" si="0"/>
        <v>0.6</v>
      </c>
      <c r="J7" s="30">
        <f t="shared" si="0"/>
        <v>0.7</v>
      </c>
      <c r="K7" s="30">
        <f t="shared" si="0"/>
        <v>0.9</v>
      </c>
      <c r="L7" s="30">
        <f t="shared" si="0"/>
        <v>1.2</v>
      </c>
      <c r="M7" s="30">
        <f t="shared" si="0"/>
        <v>1.5</v>
      </c>
    </row>
    <row r="8" spans="1:13" x14ac:dyDescent="0.25">
      <c r="A8" t="s">
        <v>49</v>
      </c>
      <c r="B8">
        <v>18</v>
      </c>
      <c r="C8">
        <v>4</v>
      </c>
      <c r="D8" s="30">
        <f t="shared" ref="D8:M10" si="1">IF(2*$C8&lt;D$6,MAX(0.1,(D$6-2*$C8)/$B8),MAX(0.1,1/$B8)*0.2*D$6/(2*$C8))</f>
        <v>1.2500000000000002E-2</v>
      </c>
      <c r="E8" s="30">
        <f t="shared" si="1"/>
        <v>1.5000000000000003E-2</v>
      </c>
      <c r="F8" s="30">
        <f t="shared" si="1"/>
        <v>1.7500000000000002E-2</v>
      </c>
      <c r="G8" s="30">
        <f t="shared" si="1"/>
        <v>1.7500000000000002E-2</v>
      </c>
      <c r="H8" s="30">
        <f t="shared" si="1"/>
        <v>2.0000000000000004E-2</v>
      </c>
      <c r="I8" s="30">
        <f t="shared" si="1"/>
        <v>0.1111111111111111</v>
      </c>
      <c r="J8" s="30">
        <f t="shared" si="1"/>
        <v>0.16666666666666666</v>
      </c>
      <c r="K8" s="30">
        <f t="shared" si="1"/>
        <v>0.27777777777777779</v>
      </c>
      <c r="L8" s="30">
        <f t="shared" si="1"/>
        <v>0.44444444444444442</v>
      </c>
      <c r="M8" s="30">
        <f t="shared" si="1"/>
        <v>0.61111111111111116</v>
      </c>
    </row>
    <row r="9" spans="1:13" x14ac:dyDescent="0.25">
      <c r="A9" t="s">
        <v>50</v>
      </c>
      <c r="B9">
        <v>25</v>
      </c>
      <c r="C9">
        <v>7</v>
      </c>
      <c r="D9" s="30">
        <f t="shared" si="1"/>
        <v>7.1428571428571444E-3</v>
      </c>
      <c r="E9" s="30">
        <f t="shared" si="1"/>
        <v>8.5714285714285736E-3</v>
      </c>
      <c r="F9" s="30">
        <f t="shared" si="1"/>
        <v>0.01</v>
      </c>
      <c r="G9" s="30">
        <f t="shared" si="1"/>
        <v>0.01</v>
      </c>
      <c r="H9" s="30">
        <f t="shared" si="1"/>
        <v>1.142857142857143E-2</v>
      </c>
      <c r="I9" s="30">
        <f t="shared" si="1"/>
        <v>1.4285714285714289E-2</v>
      </c>
      <c r="J9" s="30">
        <f t="shared" si="1"/>
        <v>1.5714285714285715E-2</v>
      </c>
      <c r="K9" s="30">
        <f t="shared" si="1"/>
        <v>1.8571428571428576E-2</v>
      </c>
      <c r="L9" s="30">
        <f t="shared" si="1"/>
        <v>0.1</v>
      </c>
      <c r="M9" s="30">
        <f t="shared" si="1"/>
        <v>0.2</v>
      </c>
    </row>
    <row r="10" spans="1:13" x14ac:dyDescent="0.25">
      <c r="A10" t="s">
        <v>52</v>
      </c>
      <c r="B10">
        <v>40</v>
      </c>
      <c r="C10">
        <v>10</v>
      </c>
      <c r="D10" s="30">
        <f t="shared" si="1"/>
        <v>5.000000000000001E-3</v>
      </c>
      <c r="E10" s="30">
        <f t="shared" si="1"/>
        <v>6.000000000000001E-3</v>
      </c>
      <c r="F10" s="30">
        <f t="shared" si="1"/>
        <v>7.000000000000001E-3</v>
      </c>
      <c r="G10" s="30">
        <f t="shared" si="1"/>
        <v>7.000000000000001E-3</v>
      </c>
      <c r="H10" s="30">
        <f t="shared" si="1"/>
        <v>8.0000000000000019E-3</v>
      </c>
      <c r="I10" s="30">
        <f t="shared" si="1"/>
        <v>1.0000000000000002E-2</v>
      </c>
      <c r="J10" s="30">
        <f t="shared" si="1"/>
        <v>1.1000000000000001E-2</v>
      </c>
      <c r="K10" s="30">
        <f t="shared" si="1"/>
        <v>1.3000000000000003E-2</v>
      </c>
      <c r="L10" s="30">
        <f t="shared" si="1"/>
        <v>1.6000000000000004E-2</v>
      </c>
      <c r="M10" s="30">
        <f t="shared" si="1"/>
        <v>1.9000000000000003E-2</v>
      </c>
    </row>
    <row r="12" spans="1:13" ht="15" customHeight="1" x14ac:dyDescent="0.25">
      <c r="D12" s="858" t="s">
        <v>16</v>
      </c>
      <c r="E12" s="858"/>
      <c r="F12" s="858"/>
      <c r="G12" s="859" t="s">
        <v>17</v>
      </c>
      <c r="H12" s="859"/>
      <c r="I12" s="859"/>
      <c r="J12" s="89"/>
      <c r="K12" s="89"/>
      <c r="L12" s="89"/>
      <c r="M12" s="89"/>
    </row>
    <row r="13" spans="1:13" x14ac:dyDescent="0.25">
      <c r="D13" s="88" t="s">
        <v>9</v>
      </c>
      <c r="E13" t="s">
        <v>10</v>
      </c>
      <c r="F13" t="s">
        <v>11</v>
      </c>
      <c r="G13" s="88" t="s">
        <v>9</v>
      </c>
      <c r="H13" t="s">
        <v>10</v>
      </c>
      <c r="I13" t="s">
        <v>11</v>
      </c>
    </row>
    <row r="14" spans="1:13" x14ac:dyDescent="0.25">
      <c r="D14" s="87">
        <v>9</v>
      </c>
      <c r="E14">
        <v>14</v>
      </c>
      <c r="F14">
        <v>19</v>
      </c>
      <c r="G14">
        <v>20</v>
      </c>
      <c r="H14">
        <v>25</v>
      </c>
      <c r="I14">
        <v>32</v>
      </c>
    </row>
    <row r="15" spans="1:13" x14ac:dyDescent="0.25">
      <c r="A15" t="s">
        <v>51</v>
      </c>
      <c r="B15">
        <v>10</v>
      </c>
      <c r="C15">
        <v>2</v>
      </c>
      <c r="D15" s="30">
        <f>IF(0.5*$C15&lt;D$14,MAX(0.1,(D$14-0.5*$C15)/$B15),MAX(0.1,1/$B15)*0.2*D$14/(0.5*$C15))</f>
        <v>0.8</v>
      </c>
      <c r="E15" s="30">
        <f t="shared" ref="E15:I15" si="2">IF(0.5*$C15&lt;E$14,MAX(0.1,(E$14-0.5*$C15)/$B15),MAX(0.1,1/$B15)*0.2*E$14/(0.5*$C15))</f>
        <v>1.3</v>
      </c>
      <c r="F15" s="30">
        <f t="shared" si="2"/>
        <v>1.8</v>
      </c>
      <c r="G15" s="30">
        <f t="shared" si="2"/>
        <v>1.9</v>
      </c>
      <c r="H15" s="30">
        <f t="shared" si="2"/>
        <v>2.4</v>
      </c>
      <c r="I15" s="30">
        <f t="shared" si="2"/>
        <v>3.1</v>
      </c>
      <c r="J15" s="30"/>
      <c r="K15" s="30"/>
      <c r="L15" s="30"/>
      <c r="M15" s="30"/>
    </row>
    <row r="16" spans="1:13" x14ac:dyDescent="0.25">
      <c r="A16" t="s">
        <v>49</v>
      </c>
      <c r="B16">
        <v>18</v>
      </c>
      <c r="C16">
        <v>4</v>
      </c>
      <c r="D16" s="30">
        <f t="shared" ref="D16:I18" si="3">IF(0.5*$C16&lt;D$14,MAX(0.1,(D$14-0.5*$C16)/$B16),MAX(0.1,1/$B16)*0.2*D$14/(0.5*$C16))</f>
        <v>0.3888888888888889</v>
      </c>
      <c r="E16" s="30">
        <f t="shared" si="3"/>
        <v>0.66666666666666663</v>
      </c>
      <c r="F16" s="30">
        <f t="shared" si="3"/>
        <v>0.94444444444444442</v>
      </c>
      <c r="G16" s="30">
        <f t="shared" si="3"/>
        <v>1</v>
      </c>
      <c r="H16" s="30">
        <f t="shared" si="3"/>
        <v>1.2777777777777777</v>
      </c>
      <c r="I16" s="30">
        <f t="shared" si="3"/>
        <v>1.6666666666666667</v>
      </c>
      <c r="J16" s="30"/>
      <c r="K16" s="30"/>
      <c r="L16" s="30"/>
      <c r="M16" s="30"/>
    </row>
    <row r="17" spans="1:15" x14ac:dyDescent="0.25">
      <c r="A17" t="s">
        <v>50</v>
      </c>
      <c r="B17">
        <v>25</v>
      </c>
      <c r="C17">
        <v>7</v>
      </c>
      <c r="D17" s="30">
        <f t="shared" si="3"/>
        <v>0.22</v>
      </c>
      <c r="E17" s="30">
        <f t="shared" si="3"/>
        <v>0.42</v>
      </c>
      <c r="F17" s="30">
        <f t="shared" si="3"/>
        <v>0.62</v>
      </c>
      <c r="G17" s="30">
        <f t="shared" si="3"/>
        <v>0.66</v>
      </c>
      <c r="H17" s="30">
        <f t="shared" si="3"/>
        <v>0.86</v>
      </c>
      <c r="I17" s="30">
        <f t="shared" si="3"/>
        <v>1.1399999999999999</v>
      </c>
      <c r="J17" s="30"/>
      <c r="K17" s="30"/>
      <c r="L17" s="30"/>
      <c r="M17" s="30"/>
    </row>
    <row r="18" spans="1:15" x14ac:dyDescent="0.25">
      <c r="A18" t="s">
        <v>52</v>
      </c>
      <c r="B18">
        <v>40</v>
      </c>
      <c r="C18">
        <v>10</v>
      </c>
      <c r="D18" s="30">
        <f t="shared" si="3"/>
        <v>0.1</v>
      </c>
      <c r="E18" s="30">
        <f t="shared" si="3"/>
        <v>0.22500000000000001</v>
      </c>
      <c r="F18" s="30">
        <f t="shared" si="3"/>
        <v>0.35</v>
      </c>
      <c r="G18" s="30">
        <f t="shared" si="3"/>
        <v>0.375</v>
      </c>
      <c r="H18" s="30">
        <f t="shared" si="3"/>
        <v>0.5</v>
      </c>
      <c r="I18" s="30">
        <f t="shared" si="3"/>
        <v>0.67500000000000004</v>
      </c>
      <c r="J18" s="30"/>
      <c r="K18" s="30"/>
      <c r="L18" s="30"/>
      <c r="M18" s="30"/>
    </row>
    <row r="21" spans="1:15" x14ac:dyDescent="0.25">
      <c r="A21" t="s">
        <v>110</v>
      </c>
      <c r="D21" s="858" t="s">
        <v>33</v>
      </c>
      <c r="E21" s="858"/>
      <c r="F21" s="858"/>
      <c r="G21" s="859" t="s">
        <v>34</v>
      </c>
      <c r="H21" s="859"/>
      <c r="I21" s="859"/>
      <c r="J21" s="859" t="s">
        <v>35</v>
      </c>
      <c r="K21" s="859"/>
      <c r="L21" s="859"/>
      <c r="M21" s="859" t="s">
        <v>36</v>
      </c>
      <c r="N21" s="859"/>
      <c r="O21" s="859"/>
    </row>
    <row r="22" spans="1:15" x14ac:dyDescent="0.25">
      <c r="D22" s="88" t="s">
        <v>9</v>
      </c>
      <c r="E22" t="s">
        <v>10</v>
      </c>
      <c r="F22" t="s">
        <v>11</v>
      </c>
      <c r="G22" s="88" t="s">
        <v>9</v>
      </c>
      <c r="H22" t="s">
        <v>10</v>
      </c>
      <c r="I22" t="s">
        <v>11</v>
      </c>
      <c r="J22" s="88" t="s">
        <v>9</v>
      </c>
      <c r="K22" t="s">
        <v>10</v>
      </c>
      <c r="L22" t="s">
        <v>11</v>
      </c>
      <c r="M22" s="88" t="s">
        <v>9</v>
      </c>
      <c r="N22" t="s">
        <v>10</v>
      </c>
      <c r="O22" t="s">
        <v>11</v>
      </c>
    </row>
    <row r="23" spans="1:15" x14ac:dyDescent="0.25">
      <c r="D23" s="87">
        <v>11</v>
      </c>
      <c r="E23">
        <v>17</v>
      </c>
      <c r="F23">
        <v>21</v>
      </c>
      <c r="G23">
        <v>16</v>
      </c>
      <c r="H23">
        <v>20</v>
      </c>
      <c r="I23">
        <v>25</v>
      </c>
      <c r="J23">
        <v>24</v>
      </c>
      <c r="K23">
        <v>30</v>
      </c>
      <c r="L23">
        <v>39</v>
      </c>
      <c r="M23">
        <v>36</v>
      </c>
      <c r="N23">
        <v>42</v>
      </c>
      <c r="O23">
        <v>50</v>
      </c>
    </row>
    <row r="24" spans="1:15" x14ac:dyDescent="0.25">
      <c r="A24" t="s">
        <v>51</v>
      </c>
      <c r="B24">
        <v>10</v>
      </c>
      <c r="C24">
        <v>2</v>
      </c>
      <c r="D24" s="30">
        <f>IF($C24&lt;D$23,MAX(0.1,(D$23-$C24)/$B24),MAX(0.1,1/$B24)*0.2*D$23/($C24))</f>
        <v>0.9</v>
      </c>
      <c r="E24" s="30">
        <f t="shared" ref="E24:O24" si="4">IF($C24&lt;E$23,MAX(0.1,(E$23-$C24)/$B24),MAX(0.1,1/$B24)*0.2*E$23/($C24))</f>
        <v>1.5</v>
      </c>
      <c r="F24" s="30">
        <f t="shared" si="4"/>
        <v>1.9</v>
      </c>
      <c r="G24" s="30">
        <f t="shared" si="4"/>
        <v>1.4</v>
      </c>
      <c r="H24" s="30">
        <f t="shared" si="4"/>
        <v>1.8</v>
      </c>
      <c r="I24" s="30">
        <f t="shared" si="4"/>
        <v>2.2999999999999998</v>
      </c>
      <c r="J24" s="30">
        <f t="shared" si="4"/>
        <v>2.2000000000000002</v>
      </c>
      <c r="K24" s="30">
        <f t="shared" si="4"/>
        <v>2.8</v>
      </c>
      <c r="L24" s="30">
        <f t="shared" si="4"/>
        <v>3.7</v>
      </c>
      <c r="M24" s="30">
        <f t="shared" si="4"/>
        <v>3.4</v>
      </c>
      <c r="N24" s="30">
        <f t="shared" si="4"/>
        <v>4</v>
      </c>
      <c r="O24" s="30">
        <f t="shared" si="4"/>
        <v>4.8</v>
      </c>
    </row>
    <row r="25" spans="1:15" x14ac:dyDescent="0.25">
      <c r="A25" t="s">
        <v>49</v>
      </c>
      <c r="B25">
        <v>18</v>
      </c>
      <c r="C25">
        <v>4</v>
      </c>
      <c r="D25" s="30">
        <f t="shared" ref="D25:O27" si="5">IF($C25&lt;D$23,MAX(0.1,(D$23-$C25)/$B25),MAX(0.1,1/$B25)*0.2*D$23/($C25))</f>
        <v>0.3888888888888889</v>
      </c>
      <c r="E25" s="30">
        <f t="shared" si="5"/>
        <v>0.72222222222222221</v>
      </c>
      <c r="F25" s="30">
        <f t="shared" si="5"/>
        <v>0.94444444444444442</v>
      </c>
      <c r="G25" s="30">
        <f t="shared" si="5"/>
        <v>0.66666666666666663</v>
      </c>
      <c r="H25" s="30">
        <f t="shared" si="5"/>
        <v>0.88888888888888884</v>
      </c>
      <c r="I25" s="30">
        <f t="shared" si="5"/>
        <v>1.1666666666666667</v>
      </c>
      <c r="J25" s="30">
        <f t="shared" si="5"/>
        <v>1.1111111111111112</v>
      </c>
      <c r="K25" s="30">
        <f t="shared" si="5"/>
        <v>1.4444444444444444</v>
      </c>
      <c r="L25" s="30">
        <f t="shared" si="5"/>
        <v>1.9444444444444444</v>
      </c>
      <c r="M25" s="30">
        <f t="shared" si="5"/>
        <v>1.7777777777777777</v>
      </c>
      <c r="N25" s="30">
        <f t="shared" si="5"/>
        <v>2.1111111111111112</v>
      </c>
      <c r="O25" s="30">
        <f t="shared" si="5"/>
        <v>2.5555555555555554</v>
      </c>
    </row>
    <row r="26" spans="1:15" x14ac:dyDescent="0.25">
      <c r="A26" t="s">
        <v>50</v>
      </c>
      <c r="B26">
        <v>25</v>
      </c>
      <c r="C26">
        <v>7</v>
      </c>
      <c r="D26" s="30">
        <f t="shared" si="5"/>
        <v>0.16</v>
      </c>
      <c r="E26" s="30">
        <f t="shared" si="5"/>
        <v>0.4</v>
      </c>
      <c r="F26" s="30">
        <f t="shared" si="5"/>
        <v>0.56000000000000005</v>
      </c>
      <c r="G26" s="30">
        <f t="shared" si="5"/>
        <v>0.36</v>
      </c>
      <c r="H26" s="30">
        <f t="shared" si="5"/>
        <v>0.52</v>
      </c>
      <c r="I26" s="30">
        <f t="shared" si="5"/>
        <v>0.72</v>
      </c>
      <c r="J26" s="30">
        <f t="shared" si="5"/>
        <v>0.68</v>
      </c>
      <c r="K26" s="30">
        <f t="shared" si="5"/>
        <v>0.92</v>
      </c>
      <c r="L26" s="30">
        <f t="shared" si="5"/>
        <v>1.28</v>
      </c>
      <c r="M26" s="30">
        <f t="shared" si="5"/>
        <v>1.1599999999999999</v>
      </c>
      <c r="N26" s="30">
        <f t="shared" si="5"/>
        <v>1.4</v>
      </c>
      <c r="O26" s="30">
        <f t="shared" si="5"/>
        <v>1.72</v>
      </c>
    </row>
    <row r="27" spans="1:15" x14ac:dyDescent="0.25">
      <c r="A27" t="s">
        <v>52</v>
      </c>
      <c r="B27">
        <v>40</v>
      </c>
      <c r="C27">
        <v>10</v>
      </c>
      <c r="D27" s="30">
        <f t="shared" si="5"/>
        <v>0.1</v>
      </c>
      <c r="E27" s="30">
        <f t="shared" si="5"/>
        <v>0.17499999999999999</v>
      </c>
      <c r="F27" s="30">
        <f t="shared" si="5"/>
        <v>0.27500000000000002</v>
      </c>
      <c r="G27" s="30">
        <f t="shared" si="5"/>
        <v>0.15</v>
      </c>
      <c r="H27" s="30">
        <f t="shared" si="5"/>
        <v>0.25</v>
      </c>
      <c r="I27" s="30">
        <f t="shared" si="5"/>
        <v>0.375</v>
      </c>
      <c r="J27" s="30">
        <f t="shared" si="5"/>
        <v>0.35</v>
      </c>
      <c r="K27" s="30">
        <f t="shared" si="5"/>
        <v>0.5</v>
      </c>
      <c r="L27" s="30">
        <f t="shared" si="5"/>
        <v>0.72499999999999998</v>
      </c>
      <c r="M27" s="30">
        <f t="shared" si="5"/>
        <v>0.65</v>
      </c>
      <c r="N27" s="30">
        <f t="shared" si="5"/>
        <v>0.8</v>
      </c>
      <c r="O27" s="30">
        <f t="shared" si="5"/>
        <v>1</v>
      </c>
    </row>
  </sheetData>
  <mergeCells count="10">
    <mergeCell ref="D21:F21"/>
    <mergeCell ref="G21:I21"/>
    <mergeCell ref="J21:L21"/>
    <mergeCell ref="M21:O21"/>
    <mergeCell ref="D4:D5"/>
    <mergeCell ref="E4:H4"/>
    <mergeCell ref="I4:K4"/>
    <mergeCell ref="L4:M4"/>
    <mergeCell ref="D12:F12"/>
    <mergeCell ref="G12:I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4"/>
  <sheetViews>
    <sheetView workbookViewId="0"/>
  </sheetViews>
  <sheetFormatPr defaultRowHeight="15" x14ac:dyDescent="0.25"/>
  <cols>
    <col min="2" max="2" width="22.28515625" bestFit="1" customWidth="1"/>
    <col min="5" max="5" width="10.28515625" bestFit="1" customWidth="1"/>
  </cols>
  <sheetData>
    <row r="1" spans="2:9" ht="15.75" thickBot="1" x14ac:dyDescent="0.3"/>
    <row r="2" spans="2:9" ht="15.75" thickBot="1" x14ac:dyDescent="0.3">
      <c r="B2" s="861" t="s">
        <v>68</v>
      </c>
      <c r="C2" s="862"/>
      <c r="D2" s="21" t="s">
        <v>0</v>
      </c>
      <c r="E2" s="6" t="s">
        <v>63</v>
      </c>
      <c r="F2" s="6" t="s">
        <v>64</v>
      </c>
      <c r="G2" s="6" t="s">
        <v>65</v>
      </c>
      <c r="H2" s="13" t="s">
        <v>67</v>
      </c>
    </row>
    <row r="3" spans="2:9" ht="15.75" thickBot="1" x14ac:dyDescent="0.3">
      <c r="B3" s="5" t="s">
        <v>66</v>
      </c>
      <c r="C3" s="10" t="s">
        <v>24</v>
      </c>
      <c r="D3" s="28">
        <v>10</v>
      </c>
      <c r="E3" s="6">
        <v>2000</v>
      </c>
      <c r="F3" s="6">
        <v>132</v>
      </c>
      <c r="G3" s="6">
        <v>18</v>
      </c>
      <c r="H3" s="13">
        <v>1</v>
      </c>
      <c r="I3">
        <f>E3/F3</f>
        <v>15.151515151515152</v>
      </c>
    </row>
    <row r="4" spans="2:9" x14ac:dyDescent="0.25">
      <c r="B4" s="826" t="s">
        <v>58</v>
      </c>
      <c r="C4" s="40" t="s">
        <v>9</v>
      </c>
      <c r="D4" s="22">
        <v>11</v>
      </c>
      <c r="E4" s="39">
        <v>12500</v>
      </c>
      <c r="F4" s="39">
        <v>78</v>
      </c>
      <c r="G4" s="39">
        <v>15</v>
      </c>
      <c r="H4" s="40">
        <v>2</v>
      </c>
      <c r="I4">
        <f t="shared" ref="I4:I21" si="0">E4/F4</f>
        <v>160.25641025641025</v>
      </c>
    </row>
    <row r="5" spans="2:9" x14ac:dyDescent="0.25">
      <c r="B5" s="856"/>
      <c r="C5" s="11" t="s">
        <v>10</v>
      </c>
      <c r="D5" s="23">
        <v>11</v>
      </c>
      <c r="E5" s="2">
        <v>15000</v>
      </c>
      <c r="F5" s="2">
        <v>90</v>
      </c>
      <c r="G5" s="2">
        <v>13</v>
      </c>
      <c r="H5" s="11">
        <v>3</v>
      </c>
      <c r="I5">
        <f t="shared" si="0"/>
        <v>166.66666666666666</v>
      </c>
    </row>
    <row r="6" spans="2:9" ht="15.75" thickBot="1" x14ac:dyDescent="0.3">
      <c r="B6" s="857"/>
      <c r="C6" s="12" t="s">
        <v>11</v>
      </c>
      <c r="D6" s="24">
        <v>11</v>
      </c>
      <c r="E6" s="8">
        <v>18150</v>
      </c>
      <c r="F6" s="8">
        <v>103</v>
      </c>
      <c r="G6" s="8">
        <v>12</v>
      </c>
      <c r="H6" s="12">
        <v>4</v>
      </c>
      <c r="I6">
        <f t="shared" si="0"/>
        <v>176.21359223300971</v>
      </c>
    </row>
    <row r="7" spans="2:9" x14ac:dyDescent="0.25">
      <c r="B7" s="826" t="s">
        <v>57</v>
      </c>
      <c r="C7" s="40" t="s">
        <v>9</v>
      </c>
      <c r="D7" s="22">
        <v>9</v>
      </c>
      <c r="E7" s="39">
        <v>13750</v>
      </c>
      <c r="F7" s="39">
        <v>94</v>
      </c>
      <c r="G7" s="39">
        <v>7</v>
      </c>
      <c r="H7" s="40">
        <v>4</v>
      </c>
      <c r="I7">
        <f t="shared" si="0"/>
        <v>146.27659574468086</v>
      </c>
    </row>
    <row r="8" spans="2:9" x14ac:dyDescent="0.25">
      <c r="B8" s="856"/>
      <c r="C8" s="11" t="s">
        <v>10</v>
      </c>
      <c r="D8" s="23">
        <v>9</v>
      </c>
      <c r="E8" s="2">
        <v>16550</v>
      </c>
      <c r="F8" s="2">
        <v>113</v>
      </c>
      <c r="G8" s="2">
        <v>5</v>
      </c>
      <c r="H8" s="11">
        <v>5</v>
      </c>
      <c r="I8">
        <f t="shared" si="0"/>
        <v>146.46017699115043</v>
      </c>
    </row>
    <row r="9" spans="2:9" ht="15.75" thickBot="1" x14ac:dyDescent="0.3">
      <c r="B9" s="857"/>
      <c r="C9" s="12" t="s">
        <v>11</v>
      </c>
      <c r="D9" s="24">
        <v>9</v>
      </c>
      <c r="E9" s="8">
        <v>20000</v>
      </c>
      <c r="F9" s="8">
        <v>125</v>
      </c>
      <c r="G9" s="8">
        <v>3</v>
      </c>
      <c r="H9" s="12">
        <v>7</v>
      </c>
      <c r="I9">
        <f t="shared" si="0"/>
        <v>160</v>
      </c>
    </row>
    <row r="10" spans="2:9" x14ac:dyDescent="0.25">
      <c r="B10" s="826" t="s">
        <v>59</v>
      </c>
      <c r="C10" s="40" t="s">
        <v>9</v>
      </c>
      <c r="D10" s="22">
        <v>9</v>
      </c>
      <c r="E10" s="39">
        <v>18750</v>
      </c>
      <c r="F10" s="39">
        <v>88</v>
      </c>
      <c r="G10" s="39">
        <v>13</v>
      </c>
      <c r="H10" s="40">
        <v>4</v>
      </c>
      <c r="I10">
        <f t="shared" si="0"/>
        <v>213.06818181818181</v>
      </c>
    </row>
    <row r="11" spans="2:9" x14ac:dyDescent="0.25">
      <c r="B11" s="856"/>
      <c r="C11" s="11" t="s">
        <v>10</v>
      </c>
      <c r="D11" s="23">
        <v>9</v>
      </c>
      <c r="E11" s="2">
        <v>23750</v>
      </c>
      <c r="F11" s="2">
        <v>105</v>
      </c>
      <c r="G11" s="2">
        <v>12</v>
      </c>
      <c r="H11" s="11">
        <v>5</v>
      </c>
      <c r="I11">
        <f t="shared" si="0"/>
        <v>226.1904761904762</v>
      </c>
    </row>
    <row r="12" spans="2:9" ht="15.75" thickBot="1" x14ac:dyDescent="0.3">
      <c r="B12" s="857"/>
      <c r="C12" s="12" t="s">
        <v>11</v>
      </c>
      <c r="D12" s="24">
        <v>9</v>
      </c>
      <c r="E12" s="8">
        <v>30000</v>
      </c>
      <c r="F12" s="8">
        <v>125</v>
      </c>
      <c r="G12" s="8">
        <v>10</v>
      </c>
      <c r="H12" s="12">
        <v>7</v>
      </c>
      <c r="I12">
        <f t="shared" si="0"/>
        <v>240</v>
      </c>
    </row>
    <row r="13" spans="2:9" x14ac:dyDescent="0.25">
      <c r="B13" s="826" t="s">
        <v>60</v>
      </c>
      <c r="C13" s="40" t="s">
        <v>9</v>
      </c>
      <c r="D13" s="22">
        <v>9</v>
      </c>
      <c r="E13" s="39">
        <v>15000</v>
      </c>
      <c r="F13" s="39">
        <v>60</v>
      </c>
      <c r="G13" s="39">
        <v>12</v>
      </c>
      <c r="H13" s="40">
        <v>4</v>
      </c>
      <c r="I13">
        <f t="shared" si="0"/>
        <v>250</v>
      </c>
    </row>
    <row r="14" spans="2:9" x14ac:dyDescent="0.25">
      <c r="B14" s="856"/>
      <c r="C14" s="11" t="s">
        <v>10</v>
      </c>
      <c r="D14" s="23">
        <v>9</v>
      </c>
      <c r="E14" s="2">
        <v>18150</v>
      </c>
      <c r="F14" s="2">
        <v>69</v>
      </c>
      <c r="G14" s="2">
        <v>11</v>
      </c>
      <c r="H14" s="11">
        <v>5</v>
      </c>
      <c r="I14">
        <f t="shared" si="0"/>
        <v>263.04347826086956</v>
      </c>
    </row>
    <row r="15" spans="2:9" ht="15.75" thickBot="1" x14ac:dyDescent="0.3">
      <c r="B15" s="857"/>
      <c r="C15" s="12" t="s">
        <v>11</v>
      </c>
      <c r="D15" s="24">
        <v>9</v>
      </c>
      <c r="E15" s="8">
        <v>21900</v>
      </c>
      <c r="F15" s="8">
        <v>75</v>
      </c>
      <c r="G15" s="8">
        <v>10</v>
      </c>
      <c r="H15" s="12">
        <v>7</v>
      </c>
      <c r="I15">
        <f t="shared" si="0"/>
        <v>292</v>
      </c>
    </row>
    <row r="16" spans="2:9" x14ac:dyDescent="0.25">
      <c r="B16" s="826" t="s">
        <v>61</v>
      </c>
      <c r="C16" s="40" t="s">
        <v>9</v>
      </c>
      <c r="D16" s="22">
        <v>9</v>
      </c>
      <c r="E16" s="39">
        <v>25000</v>
      </c>
      <c r="F16" s="39">
        <v>83</v>
      </c>
      <c r="G16" s="39">
        <v>6</v>
      </c>
      <c r="H16" s="40">
        <v>6</v>
      </c>
      <c r="I16">
        <f t="shared" si="0"/>
        <v>301.20481927710841</v>
      </c>
    </row>
    <row r="17" spans="2:9" x14ac:dyDescent="0.25">
      <c r="B17" s="856"/>
      <c r="C17" s="11" t="s">
        <v>10</v>
      </c>
      <c r="D17" s="23">
        <v>9</v>
      </c>
      <c r="E17" s="2">
        <v>30000</v>
      </c>
      <c r="F17" s="2">
        <v>95</v>
      </c>
      <c r="G17" s="2">
        <v>5</v>
      </c>
      <c r="H17" s="11">
        <v>7</v>
      </c>
      <c r="I17">
        <f t="shared" si="0"/>
        <v>315.78947368421052</v>
      </c>
    </row>
    <row r="18" spans="2:9" ht="15.75" thickBot="1" x14ac:dyDescent="0.3">
      <c r="B18" s="857"/>
      <c r="C18" s="12" t="s">
        <v>11</v>
      </c>
      <c r="D18" s="24">
        <v>9</v>
      </c>
      <c r="E18" s="8">
        <v>36250</v>
      </c>
      <c r="F18" s="8">
        <v>105</v>
      </c>
      <c r="G18" s="8">
        <v>4</v>
      </c>
      <c r="H18" s="12">
        <v>8</v>
      </c>
      <c r="I18">
        <f t="shared" si="0"/>
        <v>345.23809523809524</v>
      </c>
    </row>
    <row r="19" spans="2:9" x14ac:dyDescent="0.25">
      <c r="B19" s="826" t="s">
        <v>62</v>
      </c>
      <c r="C19" s="40" t="s">
        <v>9</v>
      </c>
      <c r="D19" s="22">
        <v>8</v>
      </c>
      <c r="E19" s="39">
        <v>23500</v>
      </c>
      <c r="F19" s="39">
        <v>64</v>
      </c>
      <c r="G19" s="39">
        <v>6</v>
      </c>
      <c r="H19" s="40">
        <v>3</v>
      </c>
      <c r="I19">
        <f t="shared" si="0"/>
        <v>367.1875</v>
      </c>
    </row>
    <row r="20" spans="2:9" x14ac:dyDescent="0.25">
      <c r="B20" s="856"/>
      <c r="C20" s="11" t="s">
        <v>10</v>
      </c>
      <c r="D20" s="23">
        <v>8</v>
      </c>
      <c r="E20" s="2">
        <v>29000</v>
      </c>
      <c r="F20" s="2">
        <v>90</v>
      </c>
      <c r="G20" s="2">
        <v>6</v>
      </c>
      <c r="H20" s="11">
        <v>5</v>
      </c>
      <c r="I20">
        <f t="shared" si="0"/>
        <v>322.22222222222223</v>
      </c>
    </row>
    <row r="21" spans="2:9" ht="15.75" thickBot="1" x14ac:dyDescent="0.3">
      <c r="B21" s="857"/>
      <c r="C21" s="12" t="s">
        <v>11</v>
      </c>
      <c r="D21" s="24">
        <v>8</v>
      </c>
      <c r="E21" s="8">
        <v>36000</v>
      </c>
      <c r="F21" s="8">
        <v>113</v>
      </c>
      <c r="G21" s="8">
        <v>5</v>
      </c>
      <c r="H21" s="12">
        <v>7</v>
      </c>
      <c r="I21">
        <f t="shared" si="0"/>
        <v>318.5840707964602</v>
      </c>
    </row>
    <row r="24" spans="2:9" x14ac:dyDescent="0.25">
      <c r="C24" s="95"/>
    </row>
    <row r="27" spans="2:9" x14ac:dyDescent="0.25">
      <c r="C27" t="s">
        <v>116</v>
      </c>
      <c r="D27">
        <f>E21</f>
        <v>36000</v>
      </c>
      <c r="F27" t="s">
        <v>122</v>
      </c>
      <c r="G27">
        <v>3.48</v>
      </c>
    </row>
    <row r="28" spans="2:9" x14ac:dyDescent="0.25">
      <c r="C28" t="s">
        <v>117</v>
      </c>
      <c r="D28">
        <f>E18</f>
        <v>36250</v>
      </c>
      <c r="F28" t="s">
        <v>123</v>
      </c>
      <c r="G28">
        <v>300</v>
      </c>
    </row>
    <row r="29" spans="2:9" x14ac:dyDescent="0.25">
      <c r="C29" t="s">
        <v>115</v>
      </c>
      <c r="D29">
        <f>D27/D28</f>
        <v>0.99310344827586206</v>
      </c>
      <c r="F29" t="s">
        <v>124</v>
      </c>
      <c r="G29">
        <v>24</v>
      </c>
    </row>
    <row r="30" spans="2:9" x14ac:dyDescent="0.25">
      <c r="C30" t="s">
        <v>118</v>
      </c>
      <c r="D30">
        <f>F21</f>
        <v>113</v>
      </c>
    </row>
    <row r="31" spans="2:9" x14ac:dyDescent="0.25">
      <c r="C31" t="s">
        <v>119</v>
      </c>
      <c r="D31">
        <f>F18</f>
        <v>105</v>
      </c>
      <c r="F31" t="s">
        <v>125</v>
      </c>
      <c r="G31">
        <f>D27*$G$28*1000/(($G$29+D30)*$G$27)</f>
        <v>22652907.123080797</v>
      </c>
      <c r="H31">
        <f>G31/2000000</f>
        <v>11.326453561540399</v>
      </c>
    </row>
    <row r="32" spans="2:9" x14ac:dyDescent="0.25">
      <c r="C32" t="s">
        <v>120</v>
      </c>
      <c r="D32">
        <f>D29*D31-D30</f>
        <v>-8.7241379310344911</v>
      </c>
      <c r="F32" t="s">
        <v>126</v>
      </c>
      <c r="G32">
        <f>D28*$G$28*1000/(($G$29+D31)*$G$27)</f>
        <v>24224806.201550387</v>
      </c>
      <c r="H32">
        <f>G32/2000000</f>
        <v>12.112403100775193</v>
      </c>
    </row>
    <row r="33" spans="3:8" x14ac:dyDescent="0.25">
      <c r="C33" t="s">
        <v>121</v>
      </c>
      <c r="D33">
        <f>1-D29</f>
        <v>6.8965517241379448E-3</v>
      </c>
      <c r="H33">
        <f>G31/G32</f>
        <v>0.93511200604077538</v>
      </c>
    </row>
    <row r="34" spans="3:8" x14ac:dyDescent="0.25">
      <c r="C34" t="s">
        <v>124</v>
      </c>
      <c r="D34">
        <f>D32/D33</f>
        <v>-1264.9999999999986</v>
      </c>
    </row>
  </sheetData>
  <mergeCells count="7">
    <mergeCell ref="B16:B18"/>
    <mergeCell ref="B19:B21"/>
    <mergeCell ref="B2:C2"/>
    <mergeCell ref="B4:B6"/>
    <mergeCell ref="B7:B9"/>
    <mergeCell ref="B10:B12"/>
    <mergeCell ref="B13:B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"/>
  <sheetViews>
    <sheetView workbookViewId="0"/>
  </sheetViews>
  <sheetFormatPr defaultRowHeight="15" x14ac:dyDescent="0.25"/>
  <cols>
    <col min="2" max="2" width="21.5703125" bestFit="1" customWidth="1"/>
  </cols>
  <sheetData>
    <row r="1" spans="2:6" ht="15.75" thickBot="1" x14ac:dyDescent="0.3"/>
    <row r="2" spans="2:6" ht="15.75" thickBot="1" x14ac:dyDescent="0.3">
      <c r="B2" s="863" t="s">
        <v>68</v>
      </c>
      <c r="C2" s="864"/>
      <c r="D2" s="54" t="s">
        <v>0</v>
      </c>
      <c r="E2" s="53" t="s">
        <v>73</v>
      </c>
      <c r="F2" s="25" t="s">
        <v>67</v>
      </c>
    </row>
    <row r="3" spans="2:6" ht="15.75" thickBot="1" x14ac:dyDescent="0.3">
      <c r="B3" s="20" t="s">
        <v>69</v>
      </c>
      <c r="C3" s="58" t="s">
        <v>24</v>
      </c>
      <c r="D3" s="54">
        <v>6</v>
      </c>
      <c r="E3" s="53">
        <v>55</v>
      </c>
      <c r="F3" s="25">
        <v>1</v>
      </c>
    </row>
    <row r="4" spans="2:6" x14ac:dyDescent="0.25">
      <c r="B4" s="826" t="s">
        <v>70</v>
      </c>
      <c r="C4" s="31" t="s">
        <v>9</v>
      </c>
      <c r="D4" s="43">
        <v>6</v>
      </c>
      <c r="E4" s="41">
        <v>65</v>
      </c>
      <c r="F4" s="31">
        <v>2</v>
      </c>
    </row>
    <row r="5" spans="2:6" ht="15.75" thickBot="1" x14ac:dyDescent="0.3">
      <c r="B5" s="857"/>
      <c r="C5" s="33" t="s">
        <v>10</v>
      </c>
      <c r="D5" s="57">
        <v>6</v>
      </c>
      <c r="E5" s="50">
        <v>80</v>
      </c>
      <c r="F5" s="33">
        <v>3</v>
      </c>
    </row>
    <row r="6" spans="2:6" x14ac:dyDescent="0.25">
      <c r="B6" s="826" t="s">
        <v>71</v>
      </c>
      <c r="C6" s="31" t="s">
        <v>9</v>
      </c>
      <c r="D6" s="43">
        <v>6</v>
      </c>
      <c r="E6" s="41">
        <v>100</v>
      </c>
      <c r="F6" s="31">
        <v>5</v>
      </c>
    </row>
    <row r="7" spans="2:6" ht="15.75" thickBot="1" x14ac:dyDescent="0.3">
      <c r="B7" s="857"/>
      <c r="C7" s="33" t="s">
        <v>10</v>
      </c>
      <c r="D7" s="57">
        <v>6</v>
      </c>
      <c r="E7" s="50">
        <v>120</v>
      </c>
      <c r="F7" s="33">
        <v>7</v>
      </c>
    </row>
    <row r="8" spans="2:6" ht="15.75" thickBot="1" x14ac:dyDescent="0.3">
      <c r="B8" s="36" t="s">
        <v>72</v>
      </c>
      <c r="C8" s="59" t="s">
        <v>24</v>
      </c>
      <c r="D8" s="60">
        <v>6</v>
      </c>
      <c r="E8" s="61">
        <v>140</v>
      </c>
      <c r="F8" s="38">
        <v>3</v>
      </c>
    </row>
  </sheetData>
  <mergeCells count="3">
    <mergeCell ref="B2:C2"/>
    <mergeCell ref="B4:B5"/>
    <mergeCell ref="B6:B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1"/>
  <sheetViews>
    <sheetView workbookViewId="0"/>
  </sheetViews>
  <sheetFormatPr defaultRowHeight="15" x14ac:dyDescent="0.25"/>
  <cols>
    <col min="2" max="2" width="17.42578125" bestFit="1" customWidth="1"/>
    <col min="5" max="5" width="10.7109375" bestFit="1" customWidth="1"/>
    <col min="6" max="6" width="10.85546875" bestFit="1" customWidth="1"/>
    <col min="7" max="7" width="12.5703125" bestFit="1" customWidth="1"/>
    <col min="8" max="8" width="12.7109375" bestFit="1" customWidth="1"/>
    <col min="10" max="10" width="18.42578125" bestFit="1" customWidth="1"/>
    <col min="11" max="11" width="20.28515625" bestFit="1" customWidth="1"/>
    <col min="12" max="12" width="20.5703125" bestFit="1" customWidth="1"/>
    <col min="13" max="13" width="22.5703125" bestFit="1" customWidth="1"/>
  </cols>
  <sheetData>
    <row r="1" spans="2:13" ht="15.75" thickBot="1" x14ac:dyDescent="0.3"/>
    <row r="2" spans="2:13" ht="15.75" thickBot="1" x14ac:dyDescent="0.3">
      <c r="B2" s="863" t="s">
        <v>68</v>
      </c>
      <c r="C2" s="864"/>
      <c r="D2" s="54" t="s">
        <v>0</v>
      </c>
      <c r="E2" s="124" t="s">
        <v>74</v>
      </c>
      <c r="F2" s="124" t="s">
        <v>75</v>
      </c>
      <c r="G2" s="124" t="s">
        <v>76</v>
      </c>
      <c r="H2" s="124" t="s">
        <v>77</v>
      </c>
      <c r="I2" s="73" t="s">
        <v>67</v>
      </c>
      <c r="J2" s="135" t="s">
        <v>108</v>
      </c>
      <c r="K2" s="136" t="s">
        <v>109</v>
      </c>
      <c r="L2" s="135" t="s">
        <v>182</v>
      </c>
      <c r="M2" s="137" t="s">
        <v>183</v>
      </c>
    </row>
    <row r="3" spans="2:13" ht="15.75" thickBot="1" x14ac:dyDescent="0.3">
      <c r="B3" s="119" t="s">
        <v>78</v>
      </c>
      <c r="C3" s="62" t="s">
        <v>24</v>
      </c>
      <c r="D3" s="63">
        <v>6</v>
      </c>
      <c r="E3" s="64">
        <v>600</v>
      </c>
      <c r="F3" s="64">
        <v>4</v>
      </c>
      <c r="G3" s="64">
        <v>520</v>
      </c>
      <c r="H3" s="64">
        <v>2</v>
      </c>
      <c r="I3" s="138">
        <v>1</v>
      </c>
      <c r="J3" s="139">
        <f>E3/D3</f>
        <v>100</v>
      </c>
      <c r="K3" s="140">
        <f>G3/D3</f>
        <v>86.666666666666671</v>
      </c>
      <c r="L3" s="139">
        <f>E3/F3</f>
        <v>150</v>
      </c>
      <c r="M3" s="141">
        <f>G3/H3</f>
        <v>260</v>
      </c>
    </row>
    <row r="4" spans="2:13" x14ac:dyDescent="0.25">
      <c r="B4" s="826" t="s">
        <v>79</v>
      </c>
      <c r="C4" s="115" t="s">
        <v>9</v>
      </c>
      <c r="D4" s="123">
        <v>7</v>
      </c>
      <c r="E4" s="122">
        <v>1000</v>
      </c>
      <c r="F4" s="122">
        <v>5</v>
      </c>
      <c r="G4" s="122">
        <v>560</v>
      </c>
      <c r="H4" s="122">
        <v>2</v>
      </c>
      <c r="I4" s="74">
        <v>2</v>
      </c>
      <c r="J4" s="85">
        <f t="shared" ref="J4:J21" si="0">E4/D4</f>
        <v>142.85714285714286</v>
      </c>
      <c r="K4" s="133">
        <f t="shared" ref="K4:K21" si="1">G4/D4</f>
        <v>80</v>
      </c>
      <c r="L4" s="85">
        <f t="shared" ref="L4:L21" si="2">E4/F4</f>
        <v>200</v>
      </c>
      <c r="M4" s="86">
        <f t="shared" ref="M4:M21" si="3">G4/H4</f>
        <v>280</v>
      </c>
    </row>
    <row r="5" spans="2:13" x14ac:dyDescent="0.25">
      <c r="B5" s="856"/>
      <c r="C5" s="116" t="s">
        <v>10</v>
      </c>
      <c r="D5" s="56">
        <v>7</v>
      </c>
      <c r="E5" s="49">
        <v>1200</v>
      </c>
      <c r="F5" s="49">
        <v>6</v>
      </c>
      <c r="G5" s="49">
        <v>670</v>
      </c>
      <c r="H5" s="49">
        <v>2</v>
      </c>
      <c r="I5" s="75">
        <v>3</v>
      </c>
      <c r="J5" s="77">
        <f t="shared" si="0"/>
        <v>171.42857142857142</v>
      </c>
      <c r="K5" s="132">
        <f t="shared" si="1"/>
        <v>95.714285714285708</v>
      </c>
      <c r="L5" s="77">
        <f t="shared" si="2"/>
        <v>200</v>
      </c>
      <c r="M5" s="78">
        <f t="shared" si="3"/>
        <v>335</v>
      </c>
    </row>
    <row r="6" spans="2:13" ht="15.75" thickBot="1" x14ac:dyDescent="0.3">
      <c r="B6" s="857"/>
      <c r="C6" s="117" t="s">
        <v>11</v>
      </c>
      <c r="D6" s="57">
        <v>7</v>
      </c>
      <c r="E6" s="50">
        <v>1440</v>
      </c>
      <c r="F6" s="50">
        <v>7</v>
      </c>
      <c r="G6" s="50">
        <v>800</v>
      </c>
      <c r="H6" s="50">
        <v>3</v>
      </c>
      <c r="I6" s="76">
        <v>4</v>
      </c>
      <c r="J6" s="79">
        <f t="shared" si="0"/>
        <v>205.71428571428572</v>
      </c>
      <c r="K6" s="134">
        <f t="shared" si="1"/>
        <v>114.28571428571429</v>
      </c>
      <c r="L6" s="79">
        <f t="shared" si="2"/>
        <v>205.71428571428572</v>
      </c>
      <c r="M6" s="80">
        <f t="shared" si="3"/>
        <v>266.66666666666669</v>
      </c>
    </row>
    <row r="7" spans="2:13" x14ac:dyDescent="0.25">
      <c r="B7" s="826" t="s">
        <v>80</v>
      </c>
      <c r="C7" s="115" t="s">
        <v>9</v>
      </c>
      <c r="D7" s="123">
        <v>8</v>
      </c>
      <c r="E7" s="122">
        <v>1230</v>
      </c>
      <c r="F7" s="122">
        <v>5</v>
      </c>
      <c r="G7" s="122">
        <v>620</v>
      </c>
      <c r="H7" s="122">
        <v>2</v>
      </c>
      <c r="I7" s="74">
        <v>4</v>
      </c>
      <c r="J7" s="85">
        <f t="shared" si="0"/>
        <v>153.75</v>
      </c>
      <c r="K7" s="133">
        <f t="shared" si="1"/>
        <v>77.5</v>
      </c>
      <c r="L7" s="85">
        <f t="shared" si="2"/>
        <v>246</v>
      </c>
      <c r="M7" s="86">
        <f t="shared" si="3"/>
        <v>310</v>
      </c>
    </row>
    <row r="8" spans="2:13" x14ac:dyDescent="0.25">
      <c r="B8" s="856"/>
      <c r="C8" s="116" t="s">
        <v>10</v>
      </c>
      <c r="D8" s="56">
        <v>8</v>
      </c>
      <c r="E8" s="49">
        <v>1475</v>
      </c>
      <c r="F8" s="49">
        <v>6</v>
      </c>
      <c r="G8" s="49">
        <v>775</v>
      </c>
      <c r="H8" s="49">
        <v>2</v>
      </c>
      <c r="I8" s="75">
        <v>5</v>
      </c>
      <c r="J8" s="77">
        <f t="shared" si="0"/>
        <v>184.375</v>
      </c>
      <c r="K8" s="132">
        <f t="shared" si="1"/>
        <v>96.875</v>
      </c>
      <c r="L8" s="77">
        <f t="shared" si="2"/>
        <v>245.83333333333334</v>
      </c>
      <c r="M8" s="78">
        <f t="shared" si="3"/>
        <v>387.5</v>
      </c>
    </row>
    <row r="9" spans="2:13" ht="15.75" thickBot="1" x14ac:dyDescent="0.3">
      <c r="B9" s="857"/>
      <c r="C9" s="117" t="s">
        <v>11</v>
      </c>
      <c r="D9" s="57">
        <v>8</v>
      </c>
      <c r="E9" s="50">
        <v>1770</v>
      </c>
      <c r="F9" s="50">
        <v>7</v>
      </c>
      <c r="G9" s="50">
        <v>930</v>
      </c>
      <c r="H9" s="50">
        <v>3</v>
      </c>
      <c r="I9" s="76">
        <v>7</v>
      </c>
      <c r="J9" s="79">
        <f t="shared" si="0"/>
        <v>221.25</v>
      </c>
      <c r="K9" s="134">
        <f t="shared" si="1"/>
        <v>116.25</v>
      </c>
      <c r="L9" s="79">
        <f t="shared" si="2"/>
        <v>252.85714285714286</v>
      </c>
      <c r="M9" s="80">
        <f t="shared" si="3"/>
        <v>310</v>
      </c>
    </row>
    <row r="10" spans="2:13" x14ac:dyDescent="0.25">
      <c r="B10" s="826" t="s">
        <v>81</v>
      </c>
      <c r="C10" s="115" t="s">
        <v>9</v>
      </c>
      <c r="D10" s="123">
        <v>8</v>
      </c>
      <c r="E10" s="122">
        <v>1540</v>
      </c>
      <c r="F10" s="122">
        <v>8</v>
      </c>
      <c r="G10" s="122">
        <v>720</v>
      </c>
      <c r="H10" s="122">
        <v>3</v>
      </c>
      <c r="I10" s="74">
        <v>4</v>
      </c>
      <c r="J10" s="85">
        <f t="shared" si="0"/>
        <v>192.5</v>
      </c>
      <c r="K10" s="133">
        <f t="shared" si="1"/>
        <v>90</v>
      </c>
      <c r="L10" s="85">
        <f t="shared" si="2"/>
        <v>192.5</v>
      </c>
      <c r="M10" s="86">
        <f t="shared" si="3"/>
        <v>240</v>
      </c>
    </row>
    <row r="11" spans="2:13" x14ac:dyDescent="0.25">
      <c r="B11" s="856"/>
      <c r="C11" s="116" t="s">
        <v>10</v>
      </c>
      <c r="D11" s="56">
        <v>8</v>
      </c>
      <c r="E11" s="49">
        <v>1850</v>
      </c>
      <c r="F11" s="49">
        <v>10</v>
      </c>
      <c r="G11" s="49">
        <v>870</v>
      </c>
      <c r="H11" s="49">
        <v>4</v>
      </c>
      <c r="I11" s="75">
        <v>5</v>
      </c>
      <c r="J11" s="77">
        <f t="shared" si="0"/>
        <v>231.25</v>
      </c>
      <c r="K11" s="132">
        <f t="shared" si="1"/>
        <v>108.75</v>
      </c>
      <c r="L11" s="77">
        <f t="shared" si="2"/>
        <v>185</v>
      </c>
      <c r="M11" s="78">
        <f t="shared" si="3"/>
        <v>217.5</v>
      </c>
    </row>
    <row r="12" spans="2:13" ht="15.75" thickBot="1" x14ac:dyDescent="0.3">
      <c r="B12" s="857"/>
      <c r="C12" s="117" t="s">
        <v>11</v>
      </c>
      <c r="D12" s="57">
        <v>8</v>
      </c>
      <c r="E12" s="50">
        <v>2220</v>
      </c>
      <c r="F12" s="50">
        <v>11</v>
      </c>
      <c r="G12" s="50">
        <v>1050</v>
      </c>
      <c r="H12" s="50">
        <v>4</v>
      </c>
      <c r="I12" s="76">
        <v>7</v>
      </c>
      <c r="J12" s="79">
        <f t="shared" si="0"/>
        <v>277.5</v>
      </c>
      <c r="K12" s="134">
        <f t="shared" si="1"/>
        <v>131.25</v>
      </c>
      <c r="L12" s="79">
        <f t="shared" si="2"/>
        <v>201.81818181818181</v>
      </c>
      <c r="M12" s="80">
        <f t="shared" si="3"/>
        <v>262.5</v>
      </c>
    </row>
    <row r="13" spans="2:13" x14ac:dyDescent="0.25">
      <c r="B13" s="826" t="s">
        <v>82</v>
      </c>
      <c r="C13" s="115" t="s">
        <v>9</v>
      </c>
      <c r="D13" s="123">
        <v>8</v>
      </c>
      <c r="E13" s="122">
        <v>1630</v>
      </c>
      <c r="F13" s="122">
        <v>6</v>
      </c>
      <c r="G13" s="122">
        <v>950</v>
      </c>
      <c r="H13" s="122">
        <v>3</v>
      </c>
      <c r="I13" s="74">
        <v>6</v>
      </c>
      <c r="J13" s="85">
        <f t="shared" si="0"/>
        <v>203.75</v>
      </c>
      <c r="K13" s="133">
        <f t="shared" si="1"/>
        <v>118.75</v>
      </c>
      <c r="L13" s="85">
        <f t="shared" si="2"/>
        <v>271.66666666666669</v>
      </c>
      <c r="M13" s="86">
        <f t="shared" si="3"/>
        <v>316.66666666666669</v>
      </c>
    </row>
    <row r="14" spans="2:13" x14ac:dyDescent="0.25">
      <c r="B14" s="856"/>
      <c r="C14" s="116" t="s">
        <v>10</v>
      </c>
      <c r="D14" s="56">
        <v>8</v>
      </c>
      <c r="E14" s="49">
        <v>1950</v>
      </c>
      <c r="F14" s="49">
        <v>7</v>
      </c>
      <c r="G14" s="49">
        <v>1140</v>
      </c>
      <c r="H14" s="49">
        <v>4</v>
      </c>
      <c r="I14" s="75">
        <v>7</v>
      </c>
      <c r="J14" s="77">
        <f t="shared" si="0"/>
        <v>243.75</v>
      </c>
      <c r="K14" s="132">
        <f t="shared" si="1"/>
        <v>142.5</v>
      </c>
      <c r="L14" s="77">
        <f t="shared" si="2"/>
        <v>278.57142857142856</v>
      </c>
      <c r="M14" s="78">
        <f t="shared" si="3"/>
        <v>285</v>
      </c>
    </row>
    <row r="15" spans="2:13" ht="15.75" thickBot="1" x14ac:dyDescent="0.3">
      <c r="B15" s="857"/>
      <c r="C15" s="117" t="s">
        <v>11</v>
      </c>
      <c r="D15" s="57">
        <v>8</v>
      </c>
      <c r="E15" s="50">
        <v>2340</v>
      </c>
      <c r="F15" s="50">
        <v>8</v>
      </c>
      <c r="G15" s="50">
        <v>1370</v>
      </c>
      <c r="H15" s="50">
        <v>4</v>
      </c>
      <c r="I15" s="76">
        <v>8</v>
      </c>
      <c r="J15" s="79">
        <f t="shared" si="0"/>
        <v>292.5</v>
      </c>
      <c r="K15" s="134">
        <f t="shared" si="1"/>
        <v>171.25</v>
      </c>
      <c r="L15" s="79">
        <f t="shared" si="2"/>
        <v>292.5</v>
      </c>
      <c r="M15" s="80">
        <f t="shared" si="3"/>
        <v>342.5</v>
      </c>
    </row>
    <row r="16" spans="2:13" x14ac:dyDescent="0.25">
      <c r="B16" s="826" t="s">
        <v>83</v>
      </c>
      <c r="C16" s="115" t="s">
        <v>9</v>
      </c>
      <c r="D16" s="123">
        <v>7</v>
      </c>
      <c r="E16" s="122">
        <v>1380</v>
      </c>
      <c r="F16" s="122">
        <v>3</v>
      </c>
      <c r="G16" s="122">
        <v>850</v>
      </c>
      <c r="H16" s="122">
        <v>1</v>
      </c>
      <c r="I16" s="74">
        <v>3</v>
      </c>
      <c r="J16" s="85">
        <f t="shared" si="0"/>
        <v>197.14285714285714</v>
      </c>
      <c r="K16" s="133">
        <f t="shared" si="1"/>
        <v>121.42857142857143</v>
      </c>
      <c r="L16" s="85">
        <f t="shared" si="2"/>
        <v>460</v>
      </c>
      <c r="M16" s="86">
        <f t="shared" si="3"/>
        <v>850</v>
      </c>
    </row>
    <row r="17" spans="2:13" x14ac:dyDescent="0.25">
      <c r="B17" s="856"/>
      <c r="C17" s="116" t="s">
        <v>10</v>
      </c>
      <c r="D17" s="56">
        <v>7</v>
      </c>
      <c r="E17" s="49">
        <v>1725</v>
      </c>
      <c r="F17" s="49">
        <v>4</v>
      </c>
      <c r="G17" s="49">
        <v>1060</v>
      </c>
      <c r="H17" s="49">
        <v>1</v>
      </c>
      <c r="I17" s="75">
        <v>5</v>
      </c>
      <c r="J17" s="77">
        <f t="shared" si="0"/>
        <v>246.42857142857142</v>
      </c>
      <c r="K17" s="132">
        <f t="shared" si="1"/>
        <v>151.42857142857142</v>
      </c>
      <c r="L17" s="77">
        <f t="shared" si="2"/>
        <v>431.25</v>
      </c>
      <c r="M17" s="78">
        <f t="shared" si="3"/>
        <v>1060</v>
      </c>
    </row>
    <row r="18" spans="2:13" ht="15.75" thickBot="1" x14ac:dyDescent="0.3">
      <c r="B18" s="857"/>
      <c r="C18" s="117" t="s">
        <v>11</v>
      </c>
      <c r="D18" s="57">
        <v>7</v>
      </c>
      <c r="E18" s="50">
        <v>2150</v>
      </c>
      <c r="F18" s="50">
        <v>5</v>
      </c>
      <c r="G18" s="50">
        <v>1325</v>
      </c>
      <c r="H18" s="50">
        <v>2</v>
      </c>
      <c r="I18" s="76">
        <v>7</v>
      </c>
      <c r="J18" s="79">
        <f t="shared" si="0"/>
        <v>307.14285714285717</v>
      </c>
      <c r="K18" s="134">
        <f t="shared" si="1"/>
        <v>189.28571428571428</v>
      </c>
      <c r="L18" s="79">
        <f t="shared" si="2"/>
        <v>430</v>
      </c>
      <c r="M18" s="80">
        <f t="shared" si="3"/>
        <v>662.5</v>
      </c>
    </row>
    <row r="19" spans="2:13" x14ac:dyDescent="0.25">
      <c r="B19" s="826" t="s">
        <v>84</v>
      </c>
      <c r="C19" s="115" t="s">
        <v>9</v>
      </c>
      <c r="D19" s="123">
        <v>7</v>
      </c>
      <c r="E19" s="122">
        <v>1880</v>
      </c>
      <c r="F19" s="122">
        <v>7</v>
      </c>
      <c r="G19" s="122">
        <v>1180</v>
      </c>
      <c r="H19" s="122">
        <v>4</v>
      </c>
      <c r="I19" s="74">
        <v>3</v>
      </c>
      <c r="J19" s="85">
        <f t="shared" si="0"/>
        <v>268.57142857142856</v>
      </c>
      <c r="K19" s="133">
        <f t="shared" si="1"/>
        <v>168.57142857142858</v>
      </c>
      <c r="L19" s="85">
        <f t="shared" si="2"/>
        <v>268.57142857142856</v>
      </c>
      <c r="M19" s="86">
        <f t="shared" si="3"/>
        <v>295</v>
      </c>
    </row>
    <row r="20" spans="2:13" x14ac:dyDescent="0.25">
      <c r="B20" s="856"/>
      <c r="C20" s="116" t="s">
        <v>10</v>
      </c>
      <c r="D20" s="56">
        <v>7</v>
      </c>
      <c r="E20" s="49">
        <v>2350</v>
      </c>
      <c r="F20" s="49">
        <v>9</v>
      </c>
      <c r="G20" s="49">
        <v>1475</v>
      </c>
      <c r="H20" s="49">
        <v>5</v>
      </c>
      <c r="I20" s="75">
        <v>5</v>
      </c>
      <c r="J20" s="77">
        <f t="shared" si="0"/>
        <v>335.71428571428572</v>
      </c>
      <c r="K20" s="132">
        <f t="shared" si="1"/>
        <v>210.71428571428572</v>
      </c>
      <c r="L20" s="77">
        <f t="shared" si="2"/>
        <v>261.11111111111109</v>
      </c>
      <c r="M20" s="78">
        <f t="shared" si="3"/>
        <v>295</v>
      </c>
    </row>
    <row r="21" spans="2:13" ht="15.75" thickBot="1" x14ac:dyDescent="0.3">
      <c r="B21" s="857"/>
      <c r="C21" s="117" t="s">
        <v>11</v>
      </c>
      <c r="D21" s="57">
        <v>7</v>
      </c>
      <c r="E21" s="50">
        <v>2940</v>
      </c>
      <c r="F21" s="50">
        <v>11</v>
      </c>
      <c r="G21" s="50">
        <v>1840</v>
      </c>
      <c r="H21" s="50">
        <v>6</v>
      </c>
      <c r="I21" s="76">
        <v>7</v>
      </c>
      <c r="J21" s="79">
        <f t="shared" si="0"/>
        <v>420</v>
      </c>
      <c r="K21" s="134">
        <f t="shared" si="1"/>
        <v>262.85714285714283</v>
      </c>
      <c r="L21" s="79">
        <f t="shared" si="2"/>
        <v>267.27272727272725</v>
      </c>
      <c r="M21" s="80">
        <f t="shared" si="3"/>
        <v>306.66666666666669</v>
      </c>
    </row>
  </sheetData>
  <mergeCells count="7">
    <mergeCell ref="B16:B18"/>
    <mergeCell ref="B19:B21"/>
    <mergeCell ref="B2:C2"/>
    <mergeCell ref="B4:B6"/>
    <mergeCell ref="B7:B9"/>
    <mergeCell ref="B10:B12"/>
    <mergeCell ref="B13:B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"/>
  <sheetViews>
    <sheetView workbookViewId="0"/>
  </sheetViews>
  <sheetFormatPr defaultRowHeight="15" x14ac:dyDescent="0.25"/>
  <cols>
    <col min="2" max="2" width="18.85546875" bestFit="1" customWidth="1"/>
  </cols>
  <sheetData>
    <row r="1" spans="2:7" ht="15.75" thickBot="1" x14ac:dyDescent="0.3"/>
    <row r="2" spans="2:7" ht="15.75" thickBot="1" x14ac:dyDescent="0.3">
      <c r="B2" s="863" t="s">
        <v>68</v>
      </c>
      <c r="C2" s="864"/>
      <c r="D2" s="54" t="s">
        <v>0</v>
      </c>
      <c r="E2" s="53" t="s">
        <v>107</v>
      </c>
      <c r="F2" s="53" t="s">
        <v>64</v>
      </c>
      <c r="G2" s="25" t="s">
        <v>67</v>
      </c>
    </row>
    <row r="3" spans="2:7" ht="15.75" thickBot="1" x14ac:dyDescent="0.3">
      <c r="B3" s="35" t="s">
        <v>103</v>
      </c>
      <c r="C3" s="62" t="s">
        <v>24</v>
      </c>
      <c r="D3" s="63">
        <v>2</v>
      </c>
      <c r="E3" s="64">
        <v>3</v>
      </c>
      <c r="F3" s="64">
        <v>1</v>
      </c>
      <c r="G3" s="37">
        <v>1</v>
      </c>
    </row>
    <row r="4" spans="2:7" x14ac:dyDescent="0.25">
      <c r="B4" s="826" t="s">
        <v>104</v>
      </c>
      <c r="C4" s="31" t="s">
        <v>9</v>
      </c>
      <c r="D4" s="43">
        <v>2</v>
      </c>
      <c r="E4" s="41">
        <v>6</v>
      </c>
      <c r="F4" s="41">
        <v>1</v>
      </c>
      <c r="G4" s="31">
        <v>2</v>
      </c>
    </row>
    <row r="5" spans="2:7" x14ac:dyDescent="0.25">
      <c r="B5" s="856"/>
      <c r="C5" s="32" t="s">
        <v>10</v>
      </c>
      <c r="D5" s="56">
        <v>2</v>
      </c>
      <c r="E5" s="49">
        <v>8</v>
      </c>
      <c r="F5" s="49">
        <v>1</v>
      </c>
      <c r="G5" s="32">
        <v>3</v>
      </c>
    </row>
    <row r="6" spans="2:7" ht="15.75" thickBot="1" x14ac:dyDescent="0.3">
      <c r="B6" s="857"/>
      <c r="C6" s="33" t="s">
        <v>11</v>
      </c>
      <c r="D6" s="57">
        <v>2</v>
      </c>
      <c r="E6" s="50">
        <v>10</v>
      </c>
      <c r="F6" s="50">
        <v>1</v>
      </c>
      <c r="G6" s="33">
        <v>4</v>
      </c>
    </row>
    <row r="7" spans="2:7" x14ac:dyDescent="0.25">
      <c r="B7" s="865" t="s">
        <v>105</v>
      </c>
      <c r="C7" s="52" t="s">
        <v>9</v>
      </c>
      <c r="D7" s="55">
        <v>2</v>
      </c>
      <c r="E7" s="51">
        <v>12</v>
      </c>
      <c r="F7" s="51">
        <v>1</v>
      </c>
      <c r="G7" s="52">
        <v>5</v>
      </c>
    </row>
    <row r="8" spans="2:7" x14ac:dyDescent="0.25">
      <c r="B8" s="856"/>
      <c r="C8" s="32" t="s">
        <v>10</v>
      </c>
      <c r="D8" s="56">
        <v>2</v>
      </c>
      <c r="E8" s="49">
        <v>14</v>
      </c>
      <c r="F8" s="49">
        <v>1</v>
      </c>
      <c r="G8" s="32">
        <v>6</v>
      </c>
    </row>
    <row r="9" spans="2:7" ht="15.75" thickBot="1" x14ac:dyDescent="0.3">
      <c r="B9" s="827"/>
      <c r="C9" s="34" t="s">
        <v>11</v>
      </c>
      <c r="D9" s="44">
        <v>2</v>
      </c>
      <c r="E9" s="42">
        <v>16</v>
      </c>
      <c r="F9" s="42">
        <v>1</v>
      </c>
      <c r="G9" s="34">
        <v>7</v>
      </c>
    </row>
    <row r="10" spans="2:7" x14ac:dyDescent="0.25">
      <c r="B10" s="826" t="s">
        <v>106</v>
      </c>
      <c r="C10" s="31" t="s">
        <v>9</v>
      </c>
      <c r="D10" s="43">
        <v>2</v>
      </c>
      <c r="E10" s="41">
        <v>10</v>
      </c>
      <c r="F10" s="41">
        <v>1</v>
      </c>
      <c r="G10" s="31">
        <v>3</v>
      </c>
    </row>
    <row r="11" spans="2:7" x14ac:dyDescent="0.25">
      <c r="B11" s="856"/>
      <c r="C11" s="32" t="s">
        <v>10</v>
      </c>
      <c r="D11" s="56">
        <v>2</v>
      </c>
      <c r="E11" s="49">
        <v>14</v>
      </c>
      <c r="F11" s="49">
        <v>1</v>
      </c>
      <c r="G11" s="32">
        <v>4</v>
      </c>
    </row>
    <row r="12" spans="2:7" ht="15.75" thickBot="1" x14ac:dyDescent="0.3">
      <c r="B12" s="857"/>
      <c r="C12" s="33" t="s">
        <v>11</v>
      </c>
      <c r="D12" s="57">
        <v>2</v>
      </c>
      <c r="E12" s="50">
        <v>18</v>
      </c>
      <c r="F12" s="50">
        <v>1</v>
      </c>
      <c r="G12" s="33">
        <v>6</v>
      </c>
    </row>
  </sheetData>
  <mergeCells count="4">
    <mergeCell ref="B2:C2"/>
    <mergeCell ref="B4:B6"/>
    <mergeCell ref="B7:B9"/>
    <mergeCell ref="B10:B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"/>
  <sheetViews>
    <sheetView workbookViewId="0"/>
  </sheetViews>
  <sheetFormatPr defaultRowHeight="15" x14ac:dyDescent="0.25"/>
  <cols>
    <col min="2" max="2" width="19.5703125" bestFit="1" customWidth="1"/>
    <col min="7" max="7" width="9.5703125" customWidth="1"/>
    <col min="8" max="8" width="10.28515625" customWidth="1"/>
  </cols>
  <sheetData>
    <row r="1" spans="2:11" ht="15.75" thickBot="1" x14ac:dyDescent="0.3"/>
    <row r="2" spans="2:11" ht="15.75" thickBot="1" x14ac:dyDescent="0.3">
      <c r="B2" s="863" t="s">
        <v>68</v>
      </c>
      <c r="C2" s="864"/>
      <c r="D2" s="54" t="s">
        <v>0</v>
      </c>
      <c r="E2" s="53" t="s">
        <v>85</v>
      </c>
      <c r="F2" s="53" t="s">
        <v>86</v>
      </c>
      <c r="G2" s="866" t="s">
        <v>87</v>
      </c>
      <c r="H2" s="866"/>
      <c r="I2" s="25" t="s">
        <v>67</v>
      </c>
    </row>
    <row r="3" spans="2:11" ht="15.75" thickBot="1" x14ac:dyDescent="0.3">
      <c r="B3" s="35" t="s">
        <v>88</v>
      </c>
      <c r="C3" s="62" t="s">
        <v>24</v>
      </c>
      <c r="D3" s="63">
        <v>18</v>
      </c>
      <c r="E3" s="64">
        <v>46</v>
      </c>
      <c r="F3" s="64">
        <v>90</v>
      </c>
      <c r="G3" s="65">
        <v>4.1100000000000003</v>
      </c>
      <c r="H3" s="64" t="s">
        <v>94</v>
      </c>
      <c r="I3" s="37">
        <v>1</v>
      </c>
      <c r="J3">
        <f>E3/D3</f>
        <v>2.5555555555555554</v>
      </c>
      <c r="K3">
        <f>F3/D3</f>
        <v>5</v>
      </c>
    </row>
    <row r="4" spans="2:11" x14ac:dyDescent="0.25">
      <c r="B4" s="826" t="s">
        <v>89</v>
      </c>
      <c r="C4" s="31" t="s">
        <v>9</v>
      </c>
      <c r="D4" s="43">
        <v>22</v>
      </c>
      <c r="E4" s="41">
        <v>60</v>
      </c>
      <c r="F4" s="41">
        <v>105</v>
      </c>
      <c r="G4" s="66">
        <v>3.81</v>
      </c>
      <c r="H4" s="41" t="s">
        <v>94</v>
      </c>
      <c r="I4" s="31">
        <v>2</v>
      </c>
      <c r="J4">
        <f t="shared" ref="J4:J18" si="0">E4/D4</f>
        <v>2.7272727272727271</v>
      </c>
      <c r="K4">
        <f t="shared" ref="K4:K18" si="1">F4/D4</f>
        <v>4.7727272727272725</v>
      </c>
    </row>
    <row r="5" spans="2:11" x14ac:dyDescent="0.25">
      <c r="B5" s="856"/>
      <c r="C5" s="32" t="s">
        <v>10</v>
      </c>
      <c r="D5" s="56">
        <v>22</v>
      </c>
      <c r="E5" s="49">
        <v>72</v>
      </c>
      <c r="F5" s="49">
        <v>125</v>
      </c>
      <c r="G5" s="67">
        <v>3.84</v>
      </c>
      <c r="H5" s="49" t="s">
        <v>94</v>
      </c>
      <c r="I5" s="32">
        <v>3</v>
      </c>
      <c r="J5">
        <f t="shared" si="0"/>
        <v>3.2727272727272729</v>
      </c>
      <c r="K5">
        <f t="shared" si="1"/>
        <v>5.6818181818181817</v>
      </c>
    </row>
    <row r="6" spans="2:11" ht="15.75" thickBot="1" x14ac:dyDescent="0.3">
      <c r="B6" s="857"/>
      <c r="C6" s="33" t="s">
        <v>11</v>
      </c>
      <c r="D6" s="57">
        <v>22</v>
      </c>
      <c r="E6" s="50">
        <v>86</v>
      </c>
      <c r="F6" s="50">
        <v>150</v>
      </c>
      <c r="G6" s="68">
        <v>3.83</v>
      </c>
      <c r="H6" s="50" t="s">
        <v>94</v>
      </c>
      <c r="I6" s="33">
        <v>4</v>
      </c>
      <c r="J6">
        <f t="shared" si="0"/>
        <v>3.9090909090909092</v>
      </c>
      <c r="K6">
        <f t="shared" si="1"/>
        <v>6.8181818181818183</v>
      </c>
    </row>
    <row r="7" spans="2:11" x14ac:dyDescent="0.25">
      <c r="B7" s="865" t="s">
        <v>90</v>
      </c>
      <c r="C7" s="52" t="s">
        <v>9</v>
      </c>
      <c r="D7" s="55">
        <v>15</v>
      </c>
      <c r="E7" s="51">
        <v>84</v>
      </c>
      <c r="F7" s="51">
        <v>180</v>
      </c>
      <c r="G7" s="69">
        <v>2.89</v>
      </c>
      <c r="H7" s="51" t="s">
        <v>95</v>
      </c>
      <c r="I7" s="52">
        <v>4</v>
      </c>
      <c r="J7">
        <f t="shared" si="0"/>
        <v>5.6</v>
      </c>
      <c r="K7">
        <f t="shared" si="1"/>
        <v>12</v>
      </c>
    </row>
    <row r="8" spans="2:11" x14ac:dyDescent="0.25">
      <c r="B8" s="856"/>
      <c r="C8" s="32" t="s">
        <v>10</v>
      </c>
      <c r="D8" s="56">
        <v>15</v>
      </c>
      <c r="E8" s="49">
        <v>100</v>
      </c>
      <c r="F8" s="49">
        <v>215</v>
      </c>
      <c r="G8" s="67">
        <v>2.79</v>
      </c>
      <c r="H8" s="49" t="s">
        <v>95</v>
      </c>
      <c r="I8" s="32">
        <v>5</v>
      </c>
      <c r="J8">
        <f t="shared" si="0"/>
        <v>6.666666666666667</v>
      </c>
      <c r="K8">
        <f t="shared" si="1"/>
        <v>14.333333333333334</v>
      </c>
    </row>
    <row r="9" spans="2:11" ht="15.75" thickBot="1" x14ac:dyDescent="0.3">
      <c r="B9" s="827"/>
      <c r="C9" s="34" t="s">
        <v>11</v>
      </c>
      <c r="D9" s="44">
        <v>15</v>
      </c>
      <c r="E9" s="42">
        <v>120</v>
      </c>
      <c r="F9" s="42">
        <v>260</v>
      </c>
      <c r="G9" s="70">
        <v>2.69</v>
      </c>
      <c r="H9" s="42" t="s">
        <v>95</v>
      </c>
      <c r="I9" s="34">
        <v>7</v>
      </c>
      <c r="J9">
        <f t="shared" si="0"/>
        <v>8</v>
      </c>
      <c r="K9">
        <f t="shared" si="1"/>
        <v>17.333333333333332</v>
      </c>
    </row>
    <row r="10" spans="2:11" x14ac:dyDescent="0.25">
      <c r="B10" s="826" t="s">
        <v>91</v>
      </c>
      <c r="C10" s="31" t="s">
        <v>9</v>
      </c>
      <c r="D10" s="43">
        <v>18</v>
      </c>
      <c r="E10" s="41">
        <v>120</v>
      </c>
      <c r="F10" s="41">
        <v>230</v>
      </c>
      <c r="G10" s="66">
        <v>3.48</v>
      </c>
      <c r="H10" s="41" t="s">
        <v>94</v>
      </c>
      <c r="I10" s="31">
        <v>4</v>
      </c>
      <c r="J10">
        <f t="shared" si="0"/>
        <v>6.666666666666667</v>
      </c>
      <c r="K10">
        <f t="shared" si="1"/>
        <v>12.777777777777779</v>
      </c>
    </row>
    <row r="11" spans="2:11" x14ac:dyDescent="0.25">
      <c r="B11" s="856"/>
      <c r="C11" s="32" t="s">
        <v>10</v>
      </c>
      <c r="D11" s="56">
        <v>18</v>
      </c>
      <c r="E11" s="49">
        <v>145</v>
      </c>
      <c r="F11" s="49">
        <v>275</v>
      </c>
      <c r="G11" s="67">
        <v>3.49</v>
      </c>
      <c r="H11" s="49" t="s">
        <v>94</v>
      </c>
      <c r="I11" s="32">
        <v>5</v>
      </c>
      <c r="J11">
        <f t="shared" si="0"/>
        <v>8.0555555555555554</v>
      </c>
      <c r="K11">
        <f t="shared" si="1"/>
        <v>15.277777777777779</v>
      </c>
    </row>
    <row r="12" spans="2:11" ht="15.75" thickBot="1" x14ac:dyDescent="0.3">
      <c r="B12" s="857"/>
      <c r="C12" s="33" t="s">
        <v>11</v>
      </c>
      <c r="D12" s="57">
        <v>18</v>
      </c>
      <c r="E12" s="50">
        <v>175</v>
      </c>
      <c r="F12" s="50">
        <v>330</v>
      </c>
      <c r="G12" s="68">
        <v>3.48</v>
      </c>
      <c r="H12" s="50" t="s">
        <v>94</v>
      </c>
      <c r="I12" s="33">
        <v>7</v>
      </c>
      <c r="J12">
        <f t="shared" si="0"/>
        <v>9.7222222222222214</v>
      </c>
      <c r="K12">
        <f t="shared" si="1"/>
        <v>18.333333333333332</v>
      </c>
    </row>
    <row r="13" spans="2:11" x14ac:dyDescent="0.25">
      <c r="B13" s="826" t="s">
        <v>92</v>
      </c>
      <c r="C13" s="31" t="s">
        <v>9</v>
      </c>
      <c r="D13" s="43">
        <v>16</v>
      </c>
      <c r="E13" s="41">
        <v>180</v>
      </c>
      <c r="F13" s="41">
        <v>350</v>
      </c>
      <c r="G13" s="66">
        <v>2.79</v>
      </c>
      <c r="H13" s="41" t="s">
        <v>95</v>
      </c>
      <c r="I13" s="31">
        <v>6</v>
      </c>
      <c r="J13">
        <f t="shared" si="0"/>
        <v>11.25</v>
      </c>
      <c r="K13">
        <f t="shared" si="1"/>
        <v>21.875</v>
      </c>
    </row>
    <row r="14" spans="2:11" x14ac:dyDescent="0.25">
      <c r="B14" s="856"/>
      <c r="C14" s="32" t="s">
        <v>10</v>
      </c>
      <c r="D14" s="56">
        <v>16</v>
      </c>
      <c r="E14" s="49">
        <v>215</v>
      </c>
      <c r="F14" s="49">
        <v>440</v>
      </c>
      <c r="G14" s="67">
        <v>2.67</v>
      </c>
      <c r="H14" s="49" t="s">
        <v>95</v>
      </c>
      <c r="I14" s="32">
        <v>7</v>
      </c>
      <c r="J14">
        <f t="shared" si="0"/>
        <v>13.4375</v>
      </c>
      <c r="K14">
        <f t="shared" si="1"/>
        <v>27.5</v>
      </c>
    </row>
    <row r="15" spans="2:11" ht="15.75" thickBot="1" x14ac:dyDescent="0.3">
      <c r="B15" s="857"/>
      <c r="C15" s="33" t="s">
        <v>11</v>
      </c>
      <c r="D15" s="57">
        <v>16</v>
      </c>
      <c r="E15" s="50">
        <v>260</v>
      </c>
      <c r="F15" s="50">
        <v>540</v>
      </c>
      <c r="G15" s="68">
        <v>2.52</v>
      </c>
      <c r="H15" s="50" t="s">
        <v>95</v>
      </c>
      <c r="I15" s="33">
        <v>8</v>
      </c>
      <c r="J15">
        <f t="shared" si="0"/>
        <v>16.25</v>
      </c>
      <c r="K15">
        <f t="shared" si="1"/>
        <v>33.75</v>
      </c>
    </row>
    <row r="16" spans="2:11" x14ac:dyDescent="0.25">
      <c r="B16" s="865" t="s">
        <v>93</v>
      </c>
      <c r="C16" s="52" t="s">
        <v>9</v>
      </c>
      <c r="D16" s="55">
        <v>20</v>
      </c>
      <c r="E16" s="51">
        <v>120</v>
      </c>
      <c r="F16" s="51">
        <v>240</v>
      </c>
      <c r="G16" s="69">
        <v>2</v>
      </c>
      <c r="H16" s="51" t="s">
        <v>95</v>
      </c>
      <c r="I16" s="52">
        <v>3</v>
      </c>
      <c r="J16">
        <f t="shared" si="0"/>
        <v>6</v>
      </c>
      <c r="K16">
        <f t="shared" si="1"/>
        <v>12</v>
      </c>
    </row>
    <row r="17" spans="2:11" x14ac:dyDescent="0.25">
      <c r="B17" s="856"/>
      <c r="C17" s="32" t="s">
        <v>10</v>
      </c>
      <c r="D17" s="56">
        <v>20</v>
      </c>
      <c r="E17" s="49">
        <v>155</v>
      </c>
      <c r="F17" s="49">
        <v>300</v>
      </c>
      <c r="G17" s="67">
        <v>2</v>
      </c>
      <c r="H17" s="49" t="s">
        <v>95</v>
      </c>
      <c r="I17" s="32">
        <v>5</v>
      </c>
      <c r="J17">
        <f t="shared" si="0"/>
        <v>7.75</v>
      </c>
      <c r="K17">
        <f t="shared" si="1"/>
        <v>15</v>
      </c>
    </row>
    <row r="18" spans="2:11" ht="15.75" thickBot="1" x14ac:dyDescent="0.3">
      <c r="B18" s="857"/>
      <c r="C18" s="33" t="s">
        <v>11</v>
      </c>
      <c r="D18" s="57">
        <v>20</v>
      </c>
      <c r="E18" s="50">
        <v>192</v>
      </c>
      <c r="F18" s="50">
        <v>375</v>
      </c>
      <c r="G18" s="68">
        <v>2</v>
      </c>
      <c r="H18" s="50" t="s">
        <v>95</v>
      </c>
      <c r="I18" s="33">
        <v>7</v>
      </c>
      <c r="J18">
        <f t="shared" si="0"/>
        <v>9.6</v>
      </c>
      <c r="K18">
        <f t="shared" si="1"/>
        <v>18.75</v>
      </c>
    </row>
  </sheetData>
  <mergeCells count="7">
    <mergeCell ref="B16:B18"/>
    <mergeCell ref="G2:H2"/>
    <mergeCell ref="B2:C2"/>
    <mergeCell ref="B4:B6"/>
    <mergeCell ref="B7:B9"/>
    <mergeCell ref="B10:B12"/>
    <mergeCell ref="B13:B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workbookViewId="0"/>
  </sheetViews>
  <sheetFormatPr defaultRowHeight="15" x14ac:dyDescent="0.25"/>
  <cols>
    <col min="2" max="2" width="16.5703125" bestFit="1" customWidth="1"/>
    <col min="8" max="8" width="16.140625" bestFit="1" customWidth="1"/>
    <col min="9" max="9" width="16.7109375" bestFit="1" customWidth="1"/>
    <col min="10" max="10" width="20.85546875" bestFit="1" customWidth="1"/>
  </cols>
  <sheetData>
    <row r="1" spans="2:10" ht="15.75" thickBot="1" x14ac:dyDescent="0.3"/>
    <row r="2" spans="2:10" ht="15.75" thickBot="1" x14ac:dyDescent="0.3">
      <c r="B2" s="867" t="s">
        <v>68</v>
      </c>
      <c r="C2" s="868"/>
      <c r="D2" s="71" t="s">
        <v>0</v>
      </c>
      <c r="E2" s="72" t="s">
        <v>101</v>
      </c>
      <c r="F2" s="72" t="s">
        <v>102</v>
      </c>
      <c r="G2" s="81" t="s">
        <v>67</v>
      </c>
      <c r="H2" s="135" t="s">
        <v>184</v>
      </c>
      <c r="I2" s="147" t="s">
        <v>185</v>
      </c>
      <c r="J2" s="137" t="s">
        <v>186</v>
      </c>
    </row>
    <row r="3" spans="2:10" x14ac:dyDescent="0.25">
      <c r="B3" s="826" t="s">
        <v>96</v>
      </c>
      <c r="C3" s="74" t="s">
        <v>9</v>
      </c>
      <c r="D3" s="118">
        <v>10</v>
      </c>
      <c r="E3" s="122">
        <v>100</v>
      </c>
      <c r="F3" s="122">
        <v>0.3</v>
      </c>
      <c r="G3" s="115">
        <v>2</v>
      </c>
      <c r="H3" s="83">
        <f>E3/D3</f>
        <v>10</v>
      </c>
      <c r="I3" s="145">
        <f>F3/D3</f>
        <v>0.03</v>
      </c>
      <c r="J3" s="146">
        <f>E3/F3</f>
        <v>333.33333333333337</v>
      </c>
    </row>
    <row r="4" spans="2:10" x14ac:dyDescent="0.25">
      <c r="B4" s="856"/>
      <c r="C4" s="75" t="s">
        <v>10</v>
      </c>
      <c r="D4" s="121">
        <v>10</v>
      </c>
      <c r="E4" s="56">
        <v>120</v>
      </c>
      <c r="F4" s="49">
        <v>0.4</v>
      </c>
      <c r="G4" s="116">
        <v>3</v>
      </c>
      <c r="H4" s="77">
        <f t="shared" ref="H4:H17" si="0">E4/D4</f>
        <v>12</v>
      </c>
      <c r="I4" s="143">
        <f t="shared" ref="I4:I17" si="1">F4/D4</f>
        <v>0.04</v>
      </c>
      <c r="J4" s="104">
        <f t="shared" ref="J4:J17" si="2">E4/F4</f>
        <v>300</v>
      </c>
    </row>
    <row r="5" spans="2:10" ht="15.75" thickBot="1" x14ac:dyDescent="0.3">
      <c r="B5" s="857"/>
      <c r="C5" s="76" t="s">
        <v>11</v>
      </c>
      <c r="D5" s="120">
        <v>10</v>
      </c>
      <c r="E5" s="50">
        <v>145</v>
      </c>
      <c r="F5" s="50">
        <v>0.5</v>
      </c>
      <c r="G5" s="117">
        <v>4</v>
      </c>
      <c r="H5" s="79">
        <f t="shared" si="0"/>
        <v>14.5</v>
      </c>
      <c r="I5" s="144">
        <f t="shared" si="1"/>
        <v>0.05</v>
      </c>
      <c r="J5" s="105">
        <f t="shared" si="2"/>
        <v>290</v>
      </c>
    </row>
    <row r="6" spans="2:10" x14ac:dyDescent="0.25">
      <c r="B6" s="865" t="s">
        <v>97</v>
      </c>
      <c r="C6" s="52" t="s">
        <v>9</v>
      </c>
      <c r="D6" s="55">
        <v>10</v>
      </c>
      <c r="E6" s="51">
        <v>180</v>
      </c>
      <c r="F6" s="51">
        <v>0.4</v>
      </c>
      <c r="G6" s="82">
        <v>4</v>
      </c>
      <c r="H6" s="85">
        <f t="shared" si="0"/>
        <v>18</v>
      </c>
      <c r="I6" s="142">
        <f t="shared" si="1"/>
        <v>0.04</v>
      </c>
      <c r="J6" s="103">
        <f t="shared" si="2"/>
        <v>450</v>
      </c>
    </row>
    <row r="7" spans="2:10" x14ac:dyDescent="0.25">
      <c r="B7" s="856"/>
      <c r="C7" s="32" t="s">
        <v>10</v>
      </c>
      <c r="D7" s="56">
        <v>10</v>
      </c>
      <c r="E7" s="49">
        <v>215</v>
      </c>
      <c r="F7" s="49">
        <v>0.5</v>
      </c>
      <c r="G7" s="75">
        <v>5</v>
      </c>
      <c r="H7" s="77">
        <f t="shared" si="0"/>
        <v>21.5</v>
      </c>
      <c r="I7" s="143">
        <f t="shared" si="1"/>
        <v>0.05</v>
      </c>
      <c r="J7" s="104">
        <f t="shared" si="2"/>
        <v>430</v>
      </c>
    </row>
    <row r="8" spans="2:10" ht="15.75" thickBot="1" x14ac:dyDescent="0.3">
      <c r="B8" s="827"/>
      <c r="C8" s="34" t="s">
        <v>11</v>
      </c>
      <c r="D8" s="44">
        <v>10</v>
      </c>
      <c r="E8" s="42">
        <v>260</v>
      </c>
      <c r="F8" s="42">
        <v>0.6</v>
      </c>
      <c r="G8" s="84">
        <v>7</v>
      </c>
      <c r="H8" s="79">
        <f t="shared" si="0"/>
        <v>26</v>
      </c>
      <c r="I8" s="144">
        <f t="shared" si="1"/>
        <v>0.06</v>
      </c>
      <c r="J8" s="105">
        <f t="shared" si="2"/>
        <v>433.33333333333337</v>
      </c>
    </row>
    <row r="9" spans="2:10" x14ac:dyDescent="0.25">
      <c r="B9" s="826" t="s">
        <v>98</v>
      </c>
      <c r="C9" s="31" t="s">
        <v>9</v>
      </c>
      <c r="D9" s="43">
        <v>10</v>
      </c>
      <c r="E9" s="41">
        <v>130</v>
      </c>
      <c r="F9" s="41">
        <v>0.8</v>
      </c>
      <c r="G9" s="74">
        <v>4</v>
      </c>
      <c r="H9" s="85">
        <f t="shared" si="0"/>
        <v>13</v>
      </c>
      <c r="I9" s="142">
        <f t="shared" si="1"/>
        <v>0.08</v>
      </c>
      <c r="J9" s="103">
        <f t="shared" si="2"/>
        <v>162.5</v>
      </c>
    </row>
    <row r="10" spans="2:10" x14ac:dyDescent="0.25">
      <c r="B10" s="856"/>
      <c r="C10" s="32" t="s">
        <v>10</v>
      </c>
      <c r="D10" s="56">
        <v>10</v>
      </c>
      <c r="E10" s="49">
        <v>155</v>
      </c>
      <c r="F10" s="49">
        <v>1</v>
      </c>
      <c r="G10" s="75">
        <v>5</v>
      </c>
      <c r="H10" s="77">
        <f t="shared" si="0"/>
        <v>15.5</v>
      </c>
      <c r="I10" s="143">
        <f t="shared" si="1"/>
        <v>0.1</v>
      </c>
      <c r="J10" s="104">
        <f t="shared" si="2"/>
        <v>155</v>
      </c>
    </row>
    <row r="11" spans="2:10" ht="15.75" thickBot="1" x14ac:dyDescent="0.3">
      <c r="B11" s="857"/>
      <c r="C11" s="33" t="s">
        <v>11</v>
      </c>
      <c r="D11" s="57">
        <v>10</v>
      </c>
      <c r="E11" s="50">
        <v>185</v>
      </c>
      <c r="F11" s="50">
        <v>1.2</v>
      </c>
      <c r="G11" s="76">
        <v>7</v>
      </c>
      <c r="H11" s="79">
        <f t="shared" si="0"/>
        <v>18.5</v>
      </c>
      <c r="I11" s="144">
        <f t="shared" si="1"/>
        <v>0.12</v>
      </c>
      <c r="J11" s="105">
        <f t="shared" si="2"/>
        <v>154.16666666666669</v>
      </c>
    </row>
    <row r="12" spans="2:10" x14ac:dyDescent="0.25">
      <c r="B12" s="865" t="s">
        <v>99</v>
      </c>
      <c r="C12" s="52" t="s">
        <v>9</v>
      </c>
      <c r="D12" s="55">
        <v>10</v>
      </c>
      <c r="E12" s="51">
        <v>220</v>
      </c>
      <c r="F12" s="51">
        <v>1</v>
      </c>
      <c r="G12" s="82">
        <v>6</v>
      </c>
      <c r="H12" s="85">
        <f t="shared" si="0"/>
        <v>22</v>
      </c>
      <c r="I12" s="142">
        <f t="shared" si="1"/>
        <v>0.1</v>
      </c>
      <c r="J12" s="103">
        <f t="shared" si="2"/>
        <v>220</v>
      </c>
    </row>
    <row r="13" spans="2:10" x14ac:dyDescent="0.25">
      <c r="B13" s="856"/>
      <c r="C13" s="32" t="s">
        <v>10</v>
      </c>
      <c r="D13" s="56">
        <v>10</v>
      </c>
      <c r="E13" s="49">
        <v>265</v>
      </c>
      <c r="F13" s="49">
        <v>1.2</v>
      </c>
      <c r="G13" s="75">
        <v>7</v>
      </c>
      <c r="H13" s="77">
        <f t="shared" si="0"/>
        <v>26.5</v>
      </c>
      <c r="I13" s="143">
        <f t="shared" si="1"/>
        <v>0.12</v>
      </c>
      <c r="J13" s="104">
        <f t="shared" si="2"/>
        <v>220.83333333333334</v>
      </c>
    </row>
    <row r="14" spans="2:10" ht="15.75" thickBot="1" x14ac:dyDescent="0.3">
      <c r="B14" s="827"/>
      <c r="C14" s="34" t="s">
        <v>11</v>
      </c>
      <c r="D14" s="44">
        <v>10</v>
      </c>
      <c r="E14" s="42">
        <v>320</v>
      </c>
      <c r="F14" s="42">
        <v>1.5</v>
      </c>
      <c r="G14" s="84">
        <v>8</v>
      </c>
      <c r="H14" s="79">
        <f t="shared" si="0"/>
        <v>32</v>
      </c>
      <c r="I14" s="144">
        <f t="shared" si="1"/>
        <v>0.15</v>
      </c>
      <c r="J14" s="105">
        <f t="shared" si="2"/>
        <v>213.33333333333334</v>
      </c>
    </row>
    <row r="15" spans="2:10" x14ac:dyDescent="0.25">
      <c r="B15" s="826" t="s">
        <v>100</v>
      </c>
      <c r="C15" s="31" t="s">
        <v>9</v>
      </c>
      <c r="D15" s="43">
        <v>9</v>
      </c>
      <c r="E15" s="41">
        <v>155</v>
      </c>
      <c r="F15" s="41">
        <v>1.2</v>
      </c>
      <c r="G15" s="74">
        <v>3</v>
      </c>
      <c r="H15" s="85">
        <f t="shared" si="0"/>
        <v>17.222222222222221</v>
      </c>
      <c r="I15" s="142">
        <f t="shared" si="1"/>
        <v>0.13333333333333333</v>
      </c>
      <c r="J15" s="103">
        <f t="shared" si="2"/>
        <v>129.16666666666669</v>
      </c>
    </row>
    <row r="16" spans="2:10" x14ac:dyDescent="0.25">
      <c r="B16" s="856"/>
      <c r="C16" s="32" t="s">
        <v>10</v>
      </c>
      <c r="D16" s="56">
        <v>9</v>
      </c>
      <c r="E16" s="49">
        <v>195</v>
      </c>
      <c r="F16" s="49">
        <v>1.5</v>
      </c>
      <c r="G16" s="75">
        <v>5</v>
      </c>
      <c r="H16" s="77">
        <f t="shared" si="0"/>
        <v>21.666666666666668</v>
      </c>
      <c r="I16" s="143">
        <f t="shared" si="1"/>
        <v>0.16666666666666666</v>
      </c>
      <c r="J16" s="104">
        <f t="shared" si="2"/>
        <v>130</v>
      </c>
    </row>
    <row r="17" spans="2:10" ht="15.75" thickBot="1" x14ac:dyDescent="0.3">
      <c r="B17" s="857"/>
      <c r="C17" s="33" t="s">
        <v>11</v>
      </c>
      <c r="D17" s="57">
        <v>9</v>
      </c>
      <c r="E17" s="50">
        <v>245</v>
      </c>
      <c r="F17" s="50">
        <v>2</v>
      </c>
      <c r="G17" s="76">
        <v>7</v>
      </c>
      <c r="H17" s="79">
        <f t="shared" si="0"/>
        <v>27.222222222222221</v>
      </c>
      <c r="I17" s="144">
        <f t="shared" si="1"/>
        <v>0.22222222222222221</v>
      </c>
      <c r="J17" s="105">
        <f t="shared" si="2"/>
        <v>122.5</v>
      </c>
    </row>
  </sheetData>
  <mergeCells count="6">
    <mergeCell ref="B15:B17"/>
    <mergeCell ref="B2:C2"/>
    <mergeCell ref="B3:B5"/>
    <mergeCell ref="B6:B8"/>
    <mergeCell ref="B9:B11"/>
    <mergeCell ref="B12:B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2"/>
  <sheetViews>
    <sheetView workbookViewId="0"/>
  </sheetViews>
  <sheetFormatPr defaultRowHeight="15" x14ac:dyDescent="0.25"/>
  <cols>
    <col min="2" max="2" width="22.7109375" customWidth="1"/>
    <col min="4" max="4" width="10.28515625" bestFit="1" customWidth="1"/>
    <col min="6" max="6" width="12.28515625" bestFit="1" customWidth="1"/>
  </cols>
  <sheetData>
    <row r="1" spans="2:7" ht="15.75" thickBot="1" x14ac:dyDescent="0.3"/>
    <row r="2" spans="2:7" ht="15.75" thickBot="1" x14ac:dyDescent="0.3">
      <c r="B2" s="93" t="s">
        <v>68</v>
      </c>
      <c r="C2" s="94" t="s">
        <v>30</v>
      </c>
      <c r="D2" s="21" t="s">
        <v>6</v>
      </c>
      <c r="E2" s="6" t="s">
        <v>0</v>
      </c>
      <c r="F2" s="6" t="s">
        <v>138</v>
      </c>
      <c r="G2" s="94" t="s">
        <v>139</v>
      </c>
    </row>
    <row r="3" spans="2:7" x14ac:dyDescent="0.25">
      <c r="B3" s="869" t="s">
        <v>132</v>
      </c>
      <c r="C3" s="92" t="s">
        <v>9</v>
      </c>
      <c r="D3" s="22">
        <v>2</v>
      </c>
      <c r="E3" s="91">
        <v>1</v>
      </c>
      <c r="F3" s="91">
        <v>1</v>
      </c>
      <c r="G3" s="92">
        <v>10</v>
      </c>
    </row>
    <row r="4" spans="2:7" x14ac:dyDescent="0.25">
      <c r="B4" s="870"/>
      <c r="C4" s="11" t="s">
        <v>10</v>
      </c>
      <c r="D4" s="23">
        <v>3</v>
      </c>
      <c r="E4" s="2">
        <v>1</v>
      </c>
      <c r="F4" s="2">
        <v>1</v>
      </c>
      <c r="G4" s="11">
        <v>20</v>
      </c>
    </row>
    <row r="5" spans="2:7" x14ac:dyDescent="0.25">
      <c r="B5" s="870"/>
      <c r="C5" s="11" t="s">
        <v>11</v>
      </c>
      <c r="D5" s="23">
        <v>5</v>
      </c>
      <c r="E5" s="2">
        <v>1</v>
      </c>
      <c r="F5" s="2">
        <v>1</v>
      </c>
      <c r="G5" s="11">
        <v>30</v>
      </c>
    </row>
    <row r="6" spans="2:7" ht="15.75" thickBot="1" x14ac:dyDescent="0.3">
      <c r="B6" s="871"/>
      <c r="C6" s="12" t="s">
        <v>23</v>
      </c>
      <c r="D6" s="24">
        <v>7</v>
      </c>
      <c r="E6" s="8">
        <v>1</v>
      </c>
      <c r="F6" s="8">
        <v>1</v>
      </c>
      <c r="G6" s="12">
        <v>40</v>
      </c>
    </row>
    <row r="7" spans="2:7" x14ac:dyDescent="0.25">
      <c r="B7" s="869" t="s">
        <v>133</v>
      </c>
      <c r="C7" s="92" t="s">
        <v>9</v>
      </c>
      <c r="D7" s="22">
        <v>4</v>
      </c>
      <c r="E7" s="91">
        <v>3</v>
      </c>
      <c r="F7" s="91">
        <v>5</v>
      </c>
      <c r="G7" s="92">
        <v>10</v>
      </c>
    </row>
    <row r="8" spans="2:7" ht="15.75" thickBot="1" x14ac:dyDescent="0.3">
      <c r="B8" s="871"/>
      <c r="C8" s="12" t="s">
        <v>10</v>
      </c>
      <c r="D8" s="24">
        <v>6</v>
      </c>
      <c r="E8" s="8">
        <v>3</v>
      </c>
      <c r="F8" s="8">
        <v>5</v>
      </c>
      <c r="G8" s="12">
        <v>20</v>
      </c>
    </row>
    <row r="9" spans="2:7" x14ac:dyDescent="0.25">
      <c r="B9" s="869" t="s">
        <v>134</v>
      </c>
      <c r="C9" s="92" t="s">
        <v>9</v>
      </c>
      <c r="D9" s="22">
        <v>2</v>
      </c>
      <c r="E9" s="91">
        <v>1</v>
      </c>
      <c r="F9" s="91">
        <v>1</v>
      </c>
      <c r="G9" s="92">
        <v>10</v>
      </c>
    </row>
    <row r="10" spans="2:7" x14ac:dyDescent="0.25">
      <c r="B10" s="870"/>
      <c r="C10" s="11" t="s">
        <v>10</v>
      </c>
      <c r="D10" s="23">
        <v>3</v>
      </c>
      <c r="E10" s="2">
        <v>1</v>
      </c>
      <c r="F10" s="2">
        <v>1</v>
      </c>
      <c r="G10" s="11">
        <v>20</v>
      </c>
    </row>
    <row r="11" spans="2:7" x14ac:dyDescent="0.25">
      <c r="B11" s="870"/>
      <c r="C11" s="11" t="s">
        <v>11</v>
      </c>
      <c r="D11" s="23">
        <v>5</v>
      </c>
      <c r="E11" s="2">
        <v>1</v>
      </c>
      <c r="F11" s="2">
        <v>1</v>
      </c>
      <c r="G11" s="11">
        <v>30</v>
      </c>
    </row>
    <row r="12" spans="2:7" ht="15.75" thickBot="1" x14ac:dyDescent="0.3">
      <c r="B12" s="871"/>
      <c r="C12" s="12" t="s">
        <v>23</v>
      </c>
      <c r="D12" s="24">
        <v>7</v>
      </c>
      <c r="E12" s="8">
        <v>1</v>
      </c>
      <c r="F12" s="8">
        <v>1</v>
      </c>
      <c r="G12" s="12">
        <v>40</v>
      </c>
    </row>
    <row r="13" spans="2:7" x14ac:dyDescent="0.25">
      <c r="B13" s="869" t="s">
        <v>135</v>
      </c>
      <c r="C13" s="92" t="s">
        <v>9</v>
      </c>
      <c r="D13" s="22">
        <v>4</v>
      </c>
      <c r="E13" s="91">
        <v>3</v>
      </c>
      <c r="F13" s="91">
        <v>5</v>
      </c>
      <c r="G13" s="92">
        <v>10</v>
      </c>
    </row>
    <row r="14" spans="2:7" ht="15.75" thickBot="1" x14ac:dyDescent="0.3">
      <c r="B14" s="871"/>
      <c r="C14" s="12" t="s">
        <v>10</v>
      </c>
      <c r="D14" s="24">
        <v>6</v>
      </c>
      <c r="E14" s="8">
        <v>3</v>
      </c>
      <c r="F14" s="8">
        <v>5</v>
      </c>
      <c r="G14" s="12">
        <v>20</v>
      </c>
    </row>
    <row r="15" spans="2:7" x14ac:dyDescent="0.25">
      <c r="B15" s="869" t="s">
        <v>136</v>
      </c>
      <c r="C15" s="92" t="s">
        <v>9</v>
      </c>
      <c r="D15" s="22">
        <v>3</v>
      </c>
      <c r="E15" s="91">
        <v>1</v>
      </c>
      <c r="F15" s="91">
        <v>1</v>
      </c>
      <c r="G15" s="92">
        <v>40</v>
      </c>
    </row>
    <row r="16" spans="2:7" x14ac:dyDescent="0.25">
      <c r="B16" s="870"/>
      <c r="C16" s="11" t="s">
        <v>10</v>
      </c>
      <c r="D16" s="23">
        <v>4</v>
      </c>
      <c r="E16" s="2">
        <v>1</v>
      </c>
      <c r="F16" s="2">
        <v>1</v>
      </c>
      <c r="G16" s="11">
        <v>45</v>
      </c>
    </row>
    <row r="17" spans="2:7" x14ac:dyDescent="0.25">
      <c r="B17" s="870"/>
      <c r="C17" s="11" t="s">
        <v>11</v>
      </c>
      <c r="D17" s="23">
        <v>5</v>
      </c>
      <c r="E17" s="2">
        <v>1</v>
      </c>
      <c r="F17" s="2">
        <v>1</v>
      </c>
      <c r="G17" s="11">
        <v>50</v>
      </c>
    </row>
    <row r="18" spans="2:7" ht="15.75" thickBot="1" x14ac:dyDescent="0.3">
      <c r="B18" s="871"/>
      <c r="C18" s="12" t="s">
        <v>23</v>
      </c>
      <c r="D18" s="24">
        <v>7</v>
      </c>
      <c r="E18" s="8">
        <v>1</v>
      </c>
      <c r="F18" s="8">
        <v>1</v>
      </c>
      <c r="G18" s="12">
        <v>60</v>
      </c>
    </row>
    <row r="19" spans="2:7" x14ac:dyDescent="0.25">
      <c r="B19" s="869" t="s">
        <v>137</v>
      </c>
      <c r="C19" s="92" t="s">
        <v>9</v>
      </c>
      <c r="D19" s="22">
        <v>3</v>
      </c>
      <c r="E19" s="91">
        <v>1</v>
      </c>
      <c r="F19" s="91">
        <v>1</v>
      </c>
      <c r="G19" s="92">
        <v>40</v>
      </c>
    </row>
    <row r="20" spans="2:7" x14ac:dyDescent="0.25">
      <c r="B20" s="870"/>
      <c r="C20" s="11" t="s">
        <v>10</v>
      </c>
      <c r="D20" s="23">
        <v>4</v>
      </c>
      <c r="E20" s="2">
        <v>1</v>
      </c>
      <c r="F20" s="2">
        <v>1</v>
      </c>
      <c r="G20" s="11">
        <v>45</v>
      </c>
    </row>
    <row r="21" spans="2:7" x14ac:dyDescent="0.25">
      <c r="B21" s="870"/>
      <c r="C21" s="11" t="s">
        <v>11</v>
      </c>
      <c r="D21" s="23">
        <v>5</v>
      </c>
      <c r="E21" s="2">
        <v>1</v>
      </c>
      <c r="F21" s="2">
        <v>1</v>
      </c>
      <c r="G21" s="11">
        <v>50</v>
      </c>
    </row>
    <row r="22" spans="2:7" ht="15.75" thickBot="1" x14ac:dyDescent="0.3">
      <c r="B22" s="871"/>
      <c r="C22" s="12" t="s">
        <v>23</v>
      </c>
      <c r="D22" s="24">
        <v>7</v>
      </c>
      <c r="E22" s="8">
        <v>1</v>
      </c>
      <c r="F22" s="8">
        <v>1</v>
      </c>
      <c r="G22" s="12">
        <v>60</v>
      </c>
    </row>
  </sheetData>
  <mergeCells count="6">
    <mergeCell ref="B19:B22"/>
    <mergeCell ref="B3:B6"/>
    <mergeCell ref="B7:B8"/>
    <mergeCell ref="B9:B12"/>
    <mergeCell ref="B13:B14"/>
    <mergeCell ref="B15:B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"/>
  <sheetViews>
    <sheetView workbookViewId="0"/>
  </sheetViews>
  <sheetFormatPr defaultRowHeight="15" x14ac:dyDescent="0.25"/>
  <cols>
    <col min="2" max="2" width="13" customWidth="1"/>
    <col min="5" max="5" width="12.28515625" bestFit="1" customWidth="1"/>
    <col min="8" max="8" width="10.28515625" bestFit="1" customWidth="1"/>
    <col min="9" max="9" width="18.7109375" customWidth="1"/>
  </cols>
  <sheetData>
    <row r="1" spans="2:9" ht="15.75" thickBot="1" x14ac:dyDescent="0.3"/>
    <row r="2" spans="2:9" ht="15.75" thickBot="1" x14ac:dyDescent="0.3">
      <c r="B2" s="110" t="s">
        <v>68</v>
      </c>
      <c r="C2" s="111" t="s">
        <v>30</v>
      </c>
      <c r="D2" s="110" t="s">
        <v>0</v>
      </c>
      <c r="E2" s="112" t="s">
        <v>138</v>
      </c>
      <c r="F2" s="112" t="s">
        <v>2</v>
      </c>
      <c r="G2" s="112" t="s">
        <v>140</v>
      </c>
      <c r="H2" s="111" t="s">
        <v>6</v>
      </c>
      <c r="I2" s="113" t="s">
        <v>144</v>
      </c>
    </row>
    <row r="3" spans="2:9" x14ac:dyDescent="0.25">
      <c r="B3" s="869" t="s">
        <v>141</v>
      </c>
      <c r="C3" s="92" t="s">
        <v>9</v>
      </c>
      <c r="D3" s="90">
        <v>12</v>
      </c>
      <c r="E3" s="91">
        <v>5</v>
      </c>
      <c r="F3" s="91">
        <v>340</v>
      </c>
      <c r="G3" s="91">
        <v>2</v>
      </c>
      <c r="H3" s="92">
        <v>3</v>
      </c>
      <c r="I3" s="47" t="s">
        <v>145</v>
      </c>
    </row>
    <row r="4" spans="2:9" ht="15.75" thickBot="1" x14ac:dyDescent="0.3">
      <c r="B4" s="871"/>
      <c r="C4" s="12" t="s">
        <v>10</v>
      </c>
      <c r="D4" s="15">
        <v>12</v>
      </c>
      <c r="E4" s="8">
        <v>5</v>
      </c>
      <c r="F4" s="8">
        <v>480</v>
      </c>
      <c r="G4" s="8">
        <v>3</v>
      </c>
      <c r="H4" s="12">
        <v>4</v>
      </c>
      <c r="I4" s="48" t="s">
        <v>145</v>
      </c>
    </row>
    <row r="5" spans="2:9" x14ac:dyDescent="0.25">
      <c r="B5" s="869" t="s">
        <v>142</v>
      </c>
      <c r="C5" s="92" t="s">
        <v>9</v>
      </c>
      <c r="D5" s="90">
        <v>14</v>
      </c>
      <c r="E5" s="91">
        <v>6</v>
      </c>
      <c r="F5" s="91">
        <v>1020</v>
      </c>
      <c r="G5" s="91">
        <v>2</v>
      </c>
      <c r="H5" s="92">
        <v>5</v>
      </c>
      <c r="I5" s="47" t="s">
        <v>145</v>
      </c>
    </row>
    <row r="6" spans="2:9" ht="15.75" thickBot="1" x14ac:dyDescent="0.3">
      <c r="B6" s="871"/>
      <c r="C6" s="12" t="s">
        <v>10</v>
      </c>
      <c r="D6" s="15">
        <v>14</v>
      </c>
      <c r="E6" s="8">
        <v>6</v>
      </c>
      <c r="F6" s="8">
        <v>1400</v>
      </c>
      <c r="G6" s="8">
        <v>3</v>
      </c>
      <c r="H6" s="12">
        <v>6</v>
      </c>
      <c r="I6" s="48" t="s">
        <v>145</v>
      </c>
    </row>
    <row r="7" spans="2:9" x14ac:dyDescent="0.25">
      <c r="B7" s="872" t="s">
        <v>143</v>
      </c>
      <c r="C7" s="109" t="s">
        <v>9</v>
      </c>
      <c r="D7" s="46">
        <v>52</v>
      </c>
      <c r="E7" s="102">
        <v>1</v>
      </c>
      <c r="F7" s="102">
        <v>1800</v>
      </c>
      <c r="G7" s="45" t="s">
        <v>24</v>
      </c>
      <c r="H7" s="109">
        <v>7</v>
      </c>
      <c r="I7" s="114" t="s">
        <v>146</v>
      </c>
    </row>
    <row r="8" spans="2:9" ht="15.75" thickBot="1" x14ac:dyDescent="0.3">
      <c r="B8" s="871"/>
      <c r="C8" s="12" t="s">
        <v>10</v>
      </c>
      <c r="D8" s="15">
        <v>52</v>
      </c>
      <c r="E8" s="8">
        <v>1</v>
      </c>
      <c r="F8" s="8">
        <v>2800</v>
      </c>
      <c r="G8" s="9" t="s">
        <v>24</v>
      </c>
      <c r="H8" s="12">
        <v>8</v>
      </c>
      <c r="I8" s="48" t="s">
        <v>146</v>
      </c>
    </row>
  </sheetData>
  <mergeCells count="3">
    <mergeCell ref="B3:B4"/>
    <mergeCell ref="B5:B6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Primary Weapons</vt:lpstr>
      <vt:lpstr>Research Costs</vt:lpstr>
      <vt:lpstr>Bombardment</vt:lpstr>
      <vt:lpstr>Special</vt:lpstr>
      <vt:lpstr>Sheet1</vt:lpstr>
      <vt:lpstr>Hyperdrives</vt:lpstr>
      <vt:lpstr>Fuel Cells</vt:lpstr>
      <vt:lpstr>Drive Thrusters</vt:lpstr>
      <vt:lpstr>Maneuvering Thrusters</vt:lpstr>
      <vt:lpstr>Reactors</vt:lpstr>
      <vt:lpstr>Shields</vt:lpstr>
      <vt:lpstr>Targeting and Countermeasures</vt:lpstr>
      <vt:lpstr>Jump Disruption</vt:lpstr>
      <vt:lpstr>basis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Ball</dc:creator>
  <cp:lastModifiedBy>Steve Wolf</cp:lastModifiedBy>
  <dcterms:created xsi:type="dcterms:W3CDTF">2014-07-06T00:00:28Z</dcterms:created>
  <dcterms:modified xsi:type="dcterms:W3CDTF">2015-04-13T22:37:24Z</dcterms:modified>
</cp:coreProperties>
</file>